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B54C4EF9-3578-439F-8D2F-ADB551A9CA5E}" xr6:coauthVersionLast="47" xr6:coauthVersionMax="47" xr10:uidLastSave="{00000000-0000-0000-0000-000000000000}"/>
  <bookViews>
    <workbookView xWindow="14295" yWindow="0" windowWidth="14610" windowHeight="15585" xr2:uid="{F250432F-2019-4E69-9708-50BB7D49DD54}"/>
  </bookViews>
  <sheets>
    <sheet name="Sheet1" sheetId="1" r:id="rId1"/>
    <sheet name="Sheet2" sheetId="2" r:id="rId2"/>
  </sheets>
  <definedNames>
    <definedName name="_xlnm._FilterDatabase" localSheetId="0" hidden="1">Sheet1!$A$1:$H$1</definedName>
    <definedName name="_xlnm._FilterDatabase" localSheetId="1" hidden="1">Sheet2!$A$1:$E$1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2" i="1" l="1"/>
  <c r="AB3" i="1"/>
  <c r="AB4" i="1"/>
  <c r="AB5" i="1"/>
  <c r="AB6" i="1"/>
  <c r="AB7" i="1"/>
  <c r="AE7" i="1" s="1"/>
  <c r="AB8" i="1"/>
  <c r="AE8" i="1" s="1"/>
  <c r="AB9" i="1"/>
  <c r="AB10" i="1"/>
  <c r="AB11" i="1"/>
  <c r="AA2" i="1"/>
  <c r="AD2" i="1" s="1"/>
  <c r="AC2" i="1"/>
  <c r="AE5" i="1"/>
  <c r="AB12" i="1"/>
  <c r="AB13" i="1"/>
  <c r="AB14" i="1"/>
  <c r="AB15" i="1"/>
  <c r="AE15" i="1" s="1"/>
  <c r="AB16" i="1"/>
  <c r="AE16" i="1" s="1"/>
  <c r="AB17" i="1"/>
  <c r="AB18" i="1"/>
  <c r="AB19" i="1"/>
  <c r="AB20" i="1"/>
  <c r="AB21" i="1"/>
  <c r="AE21" i="1" s="1"/>
  <c r="AB22" i="1"/>
  <c r="AE22" i="1" s="1"/>
  <c r="AB23" i="1"/>
  <c r="AE23" i="1" s="1"/>
  <c r="AB24" i="1"/>
  <c r="AE24" i="1" s="1"/>
  <c r="AB25" i="1"/>
  <c r="AE25" i="1" s="1"/>
  <c r="AB26" i="1"/>
  <c r="AE26" i="1" s="1"/>
  <c r="AB27" i="1"/>
  <c r="AB28" i="1"/>
  <c r="AB29" i="1"/>
  <c r="AB30" i="1"/>
  <c r="AB31" i="1"/>
  <c r="AE31" i="1" s="1"/>
  <c r="AB32" i="1"/>
  <c r="AE32" i="1" s="1"/>
  <c r="AB33" i="1"/>
  <c r="AB34" i="1"/>
  <c r="AB35" i="1"/>
  <c r="AB36" i="1"/>
  <c r="AB37" i="1"/>
  <c r="AB38" i="1"/>
  <c r="AB39" i="1"/>
  <c r="AE39" i="1" s="1"/>
  <c r="AB40" i="1"/>
  <c r="AE40" i="1" s="1"/>
  <c r="AB41" i="1"/>
  <c r="AB42" i="1"/>
  <c r="AB43" i="1"/>
  <c r="AB44" i="1"/>
  <c r="AB45" i="1"/>
  <c r="AE45" i="1" s="1"/>
  <c r="AB46" i="1"/>
  <c r="AE46" i="1" s="1"/>
  <c r="AB47" i="1"/>
  <c r="AE47" i="1" s="1"/>
  <c r="AB48" i="1"/>
  <c r="AE48" i="1" s="1"/>
  <c r="AB49" i="1"/>
  <c r="AE49" i="1" s="1"/>
  <c r="AB50" i="1"/>
  <c r="AE50" i="1" s="1"/>
  <c r="AB51" i="1"/>
  <c r="AB52" i="1"/>
  <c r="AB53" i="1"/>
  <c r="AE53" i="1" s="1"/>
  <c r="AB54" i="1"/>
  <c r="AB55" i="1"/>
  <c r="AE55" i="1" s="1"/>
  <c r="AB56" i="1"/>
  <c r="AE56" i="1" s="1"/>
  <c r="AB57" i="1"/>
  <c r="AB58" i="1"/>
  <c r="AB59" i="1"/>
  <c r="AB60" i="1"/>
  <c r="AB61" i="1"/>
  <c r="AE61" i="1" s="1"/>
  <c r="AB62" i="1"/>
  <c r="AB63" i="1"/>
  <c r="AE63" i="1" s="1"/>
  <c r="AB64" i="1"/>
  <c r="AE64" i="1" s="1"/>
  <c r="AB65" i="1"/>
  <c r="AB66" i="1"/>
  <c r="AB67" i="1"/>
  <c r="AB68" i="1"/>
  <c r="AB69" i="1"/>
  <c r="AE69" i="1" s="1"/>
  <c r="AB70" i="1"/>
  <c r="AE70" i="1" s="1"/>
  <c r="AB71" i="1"/>
  <c r="AE71" i="1" s="1"/>
  <c r="AB72" i="1"/>
  <c r="AE72" i="1" s="1"/>
  <c r="AB73" i="1"/>
  <c r="AE73" i="1" s="1"/>
  <c r="AB74" i="1"/>
  <c r="AE74" i="1" s="1"/>
  <c r="AB75" i="1"/>
  <c r="AB76" i="1"/>
  <c r="AB77" i="1"/>
  <c r="AE77" i="1" s="1"/>
  <c r="AB78" i="1"/>
  <c r="AB79" i="1"/>
  <c r="AE79" i="1" s="1"/>
  <c r="AB80" i="1"/>
  <c r="AE80" i="1" s="1"/>
  <c r="AB81" i="1"/>
  <c r="AB82" i="1"/>
  <c r="AB83" i="1"/>
  <c r="AB84" i="1"/>
  <c r="AB85" i="1"/>
  <c r="AE85" i="1" s="1"/>
  <c r="AB86" i="1"/>
  <c r="AB87" i="1"/>
  <c r="AE87" i="1" s="1"/>
  <c r="AB88" i="1"/>
  <c r="AE88" i="1" s="1"/>
  <c r="AB89" i="1"/>
  <c r="AE89" i="1" s="1"/>
  <c r="AB90" i="1"/>
  <c r="AE2" i="1"/>
  <c r="AD3" i="1"/>
  <c r="AE3" i="1"/>
  <c r="AF3" i="1"/>
  <c r="AD4" i="1"/>
  <c r="AE4" i="1"/>
  <c r="AF4" i="1"/>
  <c r="AD5" i="1"/>
  <c r="AF5" i="1"/>
  <c r="AD6" i="1"/>
  <c r="AE6" i="1"/>
  <c r="AF6" i="1"/>
  <c r="AD7" i="1"/>
  <c r="AF7" i="1"/>
  <c r="AD8" i="1"/>
  <c r="AF8" i="1"/>
  <c r="AD9" i="1"/>
  <c r="AE9" i="1"/>
  <c r="AF9" i="1"/>
  <c r="AD10" i="1"/>
  <c r="AE10" i="1"/>
  <c r="AF10" i="1"/>
  <c r="AD11" i="1"/>
  <c r="AE11" i="1"/>
  <c r="AF11" i="1"/>
  <c r="AD12" i="1"/>
  <c r="AE12" i="1"/>
  <c r="AF12" i="1"/>
  <c r="AD13" i="1"/>
  <c r="AE13" i="1"/>
  <c r="AF13" i="1"/>
  <c r="AD14" i="1"/>
  <c r="AE14" i="1"/>
  <c r="AF14" i="1"/>
  <c r="AD15" i="1"/>
  <c r="AF15" i="1"/>
  <c r="AD16" i="1"/>
  <c r="AF16" i="1"/>
  <c r="AD17" i="1"/>
  <c r="AE17" i="1"/>
  <c r="AF17" i="1"/>
  <c r="AD18" i="1"/>
  <c r="AE18" i="1"/>
  <c r="AF18" i="1"/>
  <c r="AD19" i="1"/>
  <c r="AE19" i="1"/>
  <c r="AF19" i="1"/>
  <c r="AD20" i="1"/>
  <c r="AE20" i="1"/>
  <c r="AF20" i="1"/>
  <c r="AD21" i="1"/>
  <c r="AF21" i="1"/>
  <c r="AD22" i="1"/>
  <c r="AF22" i="1"/>
  <c r="AD23" i="1"/>
  <c r="AF23" i="1"/>
  <c r="AD24" i="1"/>
  <c r="AF24" i="1"/>
  <c r="AD25" i="1"/>
  <c r="AF25" i="1"/>
  <c r="AD26" i="1"/>
  <c r="AF26" i="1"/>
  <c r="AD27" i="1"/>
  <c r="AE27" i="1"/>
  <c r="AF27" i="1"/>
  <c r="AD28" i="1"/>
  <c r="AE28" i="1"/>
  <c r="AF28" i="1"/>
  <c r="AD29" i="1"/>
  <c r="AE29" i="1"/>
  <c r="AF29" i="1"/>
  <c r="AD30" i="1"/>
  <c r="AE30" i="1"/>
  <c r="AF30" i="1"/>
  <c r="AD31" i="1"/>
  <c r="AF31" i="1"/>
  <c r="AD32" i="1"/>
  <c r="AF32" i="1"/>
  <c r="AD33" i="1"/>
  <c r="AE33" i="1"/>
  <c r="AF33" i="1"/>
  <c r="AD34" i="1"/>
  <c r="AE34" i="1"/>
  <c r="AF34" i="1"/>
  <c r="AD35" i="1"/>
  <c r="AE35" i="1"/>
  <c r="AF35" i="1"/>
  <c r="AD36" i="1"/>
  <c r="AE36" i="1"/>
  <c r="AF36" i="1"/>
  <c r="AD37" i="1"/>
  <c r="AE37" i="1"/>
  <c r="AF37" i="1"/>
  <c r="AD38" i="1"/>
  <c r="AE38" i="1"/>
  <c r="AF38" i="1"/>
  <c r="AD39" i="1"/>
  <c r="AF39" i="1"/>
  <c r="AD40" i="1"/>
  <c r="AF40" i="1"/>
  <c r="AD41" i="1"/>
  <c r="AE41" i="1"/>
  <c r="AF41" i="1"/>
  <c r="AD42" i="1"/>
  <c r="AE42" i="1"/>
  <c r="AF42" i="1"/>
  <c r="AD43" i="1"/>
  <c r="AE43" i="1"/>
  <c r="AF43" i="1"/>
  <c r="AD44" i="1"/>
  <c r="AE44" i="1"/>
  <c r="AF44" i="1"/>
  <c r="AD45" i="1"/>
  <c r="AF45" i="1"/>
  <c r="AD46" i="1"/>
  <c r="AF46" i="1"/>
  <c r="AD47" i="1"/>
  <c r="AF47" i="1"/>
  <c r="AD48" i="1"/>
  <c r="AF48" i="1"/>
  <c r="AD49" i="1"/>
  <c r="AF49" i="1"/>
  <c r="AD50" i="1"/>
  <c r="AF50" i="1"/>
  <c r="AD51" i="1"/>
  <c r="AE51" i="1"/>
  <c r="AF51" i="1"/>
  <c r="AD52" i="1"/>
  <c r="AE52" i="1"/>
  <c r="AF52" i="1"/>
  <c r="AD53" i="1"/>
  <c r="AF53" i="1"/>
  <c r="AD54" i="1"/>
  <c r="AE54" i="1"/>
  <c r="AF54" i="1"/>
  <c r="AD55" i="1"/>
  <c r="AF55" i="1"/>
  <c r="AD56" i="1"/>
  <c r="AF56" i="1"/>
  <c r="AD57" i="1"/>
  <c r="AE57" i="1"/>
  <c r="AF57" i="1"/>
  <c r="AD58" i="1"/>
  <c r="AE58" i="1"/>
  <c r="AF58" i="1"/>
  <c r="AD59" i="1"/>
  <c r="AE59" i="1"/>
  <c r="AF59" i="1"/>
  <c r="AD60" i="1"/>
  <c r="AE60" i="1"/>
  <c r="AF60" i="1"/>
  <c r="AD61" i="1"/>
  <c r="AF61" i="1"/>
  <c r="AD62" i="1"/>
  <c r="AE62" i="1"/>
  <c r="AF62" i="1"/>
  <c r="AD63" i="1"/>
  <c r="AF63" i="1"/>
  <c r="AD64" i="1"/>
  <c r="AF64" i="1"/>
  <c r="AD65" i="1"/>
  <c r="AE65" i="1"/>
  <c r="AF65" i="1"/>
  <c r="AD66" i="1"/>
  <c r="AE66" i="1"/>
  <c r="AF66" i="1"/>
  <c r="AD67" i="1"/>
  <c r="AE67" i="1"/>
  <c r="AF67" i="1"/>
  <c r="AD68" i="1"/>
  <c r="AE68" i="1"/>
  <c r="AF68" i="1"/>
  <c r="AD69" i="1"/>
  <c r="AF69" i="1"/>
  <c r="AD70" i="1"/>
  <c r="AF70" i="1"/>
  <c r="AD71" i="1"/>
  <c r="AF71" i="1"/>
  <c r="AD72" i="1"/>
  <c r="AF72" i="1"/>
  <c r="AD73" i="1"/>
  <c r="AF73" i="1"/>
  <c r="AD74" i="1"/>
  <c r="AF74" i="1"/>
  <c r="AD75" i="1"/>
  <c r="AE75" i="1"/>
  <c r="AF75" i="1"/>
  <c r="AD76" i="1"/>
  <c r="AE76" i="1"/>
  <c r="AF76" i="1"/>
  <c r="AD77" i="1"/>
  <c r="AF77" i="1"/>
  <c r="AD78" i="1"/>
  <c r="AE78" i="1"/>
  <c r="AF78" i="1"/>
  <c r="AD79" i="1"/>
  <c r="AF79" i="1"/>
  <c r="AD80" i="1"/>
  <c r="AF80" i="1"/>
  <c r="AD81" i="1"/>
  <c r="AE81" i="1"/>
  <c r="AF81" i="1"/>
  <c r="AD82" i="1"/>
  <c r="AE82" i="1"/>
  <c r="AF82" i="1"/>
  <c r="AD83" i="1"/>
  <c r="AE83" i="1"/>
  <c r="AF83" i="1"/>
  <c r="AD84" i="1"/>
  <c r="AE84" i="1"/>
  <c r="AF84" i="1"/>
  <c r="AD85" i="1"/>
  <c r="AF85" i="1"/>
  <c r="AD86" i="1"/>
  <c r="AE86" i="1"/>
  <c r="AF86" i="1"/>
  <c r="AD87" i="1"/>
  <c r="AF87" i="1"/>
  <c r="AD88" i="1"/>
  <c r="AF88" i="1"/>
  <c r="AD89" i="1"/>
  <c r="AF89" i="1"/>
  <c r="AD90" i="1"/>
  <c r="AE90" i="1"/>
  <c r="AF90" i="1"/>
  <c r="AF2" i="1"/>
  <c r="Y3" i="1"/>
  <c r="Y4" i="1"/>
  <c r="Y5" i="1"/>
  <c r="Y6" i="1"/>
  <c r="Y7" i="1"/>
  <c r="Y8" i="1"/>
  <c r="Y9" i="1"/>
  <c r="Y10" i="1"/>
  <c r="Y11" i="1"/>
  <c r="Y2" i="1"/>
  <c r="Z3" i="1"/>
  <c r="Z4" i="1"/>
  <c r="Z5" i="1"/>
  <c r="Z6" i="1"/>
  <c r="Z7" i="1"/>
  <c r="Z8" i="1"/>
  <c r="AC8" i="1" s="1"/>
  <c r="Z9" i="1"/>
  <c r="Z10" i="1"/>
  <c r="AC10" i="1" s="1"/>
  <c r="Z11" i="1"/>
  <c r="AC11" i="1" s="1"/>
  <c r="Z2" i="1"/>
  <c r="AG3" i="1"/>
  <c r="AG4" i="1" s="1"/>
  <c r="AG5" i="1" s="1"/>
  <c r="AG6" i="1" s="1"/>
  <c r="S3" i="1"/>
  <c r="S4" i="1" s="1"/>
  <c r="S5" i="1" s="1"/>
  <c r="J3" i="1"/>
  <c r="K3" i="1"/>
  <c r="L3" i="1"/>
  <c r="J4" i="1"/>
  <c r="K4" i="1"/>
  <c r="L4" i="1"/>
  <c r="J5" i="1"/>
  <c r="K5" i="1"/>
  <c r="L5" i="1"/>
  <c r="J6" i="1"/>
  <c r="K6" i="1"/>
  <c r="L6" i="1"/>
  <c r="J7" i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L2" i="1"/>
  <c r="K2" i="1"/>
  <c r="J2" i="1"/>
  <c r="I13" i="1"/>
  <c r="J13" i="1" s="1"/>
  <c r="I14" i="1"/>
  <c r="I18" i="1" s="1"/>
  <c r="I15" i="1"/>
  <c r="I19" i="1" s="1"/>
  <c r="I12" i="1"/>
  <c r="I16" i="1" s="1"/>
  <c r="A12" i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B90" i="1" s="1"/>
  <c r="C90" i="1" s="1"/>
  <c r="G2" i="1"/>
  <c r="H2" i="1" s="1"/>
  <c r="G7" i="1"/>
  <c r="D3" i="2"/>
  <c r="D4" i="2"/>
  <c r="D5" i="2"/>
  <c r="D6" i="2"/>
  <c r="D7" i="2"/>
  <c r="D8" i="2"/>
  <c r="D9" i="2"/>
  <c r="D10" i="2"/>
  <c r="G9" i="1"/>
  <c r="H9" i="1" s="1"/>
  <c r="G6" i="1"/>
  <c r="H6" i="1" s="1"/>
  <c r="G3" i="1"/>
  <c r="H3" i="1" s="1"/>
  <c r="B9" i="1"/>
  <c r="C9" i="1" s="1"/>
  <c r="B6" i="1"/>
  <c r="C6" i="1" s="1"/>
  <c r="B3" i="1"/>
  <c r="C3" i="1" s="1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2" i="2"/>
  <c r="D11" i="2"/>
  <c r="C3" i="2"/>
  <c r="E3" i="2" s="1"/>
  <c r="C4" i="2"/>
  <c r="E4" i="2" s="1"/>
  <c r="C5" i="2"/>
  <c r="E5" i="2" s="1"/>
  <c r="C6" i="2"/>
  <c r="E6" i="2" s="1"/>
  <c r="C7" i="2"/>
  <c r="E7" i="2" s="1"/>
  <c r="C8" i="2"/>
  <c r="E8" i="2" s="1"/>
  <c r="C9" i="2"/>
  <c r="E9" i="2" s="1"/>
  <c r="C10" i="2"/>
  <c r="E10" i="2" s="1"/>
  <c r="C11" i="2"/>
  <c r="E11" i="2" s="1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2" i="2"/>
  <c r="E2" i="2" s="1"/>
  <c r="G11" i="1"/>
  <c r="G4" i="1"/>
  <c r="H4" i="1" s="1"/>
  <c r="B11" i="1"/>
  <c r="C11" i="1" s="1"/>
  <c r="D11" i="1" s="1"/>
  <c r="B7" i="1"/>
  <c r="C7" i="1" s="1"/>
  <c r="B4" i="1"/>
  <c r="C4" i="1" s="1"/>
  <c r="G10" i="1"/>
  <c r="G8" i="1"/>
  <c r="H8" i="1" s="1"/>
  <c r="B10" i="1"/>
  <c r="C10" i="1" s="1"/>
  <c r="B8" i="1"/>
  <c r="C8" i="1" s="1"/>
  <c r="E8" i="1" s="1"/>
  <c r="B2" i="1"/>
  <c r="C2" i="1" s="1"/>
  <c r="E2" i="1" s="1"/>
  <c r="B5" i="1"/>
  <c r="C5" i="1" s="1"/>
  <c r="D5" i="1" s="1"/>
  <c r="G5" i="1"/>
  <c r="H5" i="1" s="1"/>
  <c r="Y25" i="1" l="1"/>
  <c r="Y46" i="1"/>
  <c r="Y22" i="1"/>
  <c r="Y21" i="1"/>
  <c r="Y50" i="1"/>
  <c r="Y71" i="1"/>
  <c r="Y68" i="1"/>
  <c r="Y44" i="1"/>
  <c r="Y20" i="1"/>
  <c r="Y67" i="1"/>
  <c r="Y43" i="1"/>
  <c r="Y19" i="1"/>
  <c r="Y73" i="1"/>
  <c r="Y23" i="1"/>
  <c r="Y90" i="1"/>
  <c r="Y66" i="1"/>
  <c r="Y42" i="1"/>
  <c r="Y18" i="1"/>
  <c r="Y45" i="1"/>
  <c r="Y65" i="1"/>
  <c r="Y41" i="1"/>
  <c r="Y17" i="1"/>
  <c r="Y88" i="1"/>
  <c r="Y64" i="1"/>
  <c r="Y40" i="1"/>
  <c r="Y16" i="1"/>
  <c r="Y87" i="1"/>
  <c r="Y63" i="1"/>
  <c r="Y39" i="1"/>
  <c r="Y15" i="1"/>
  <c r="Y86" i="1"/>
  <c r="Y62" i="1"/>
  <c r="Y38" i="1"/>
  <c r="Y14" i="1"/>
  <c r="Y49" i="1"/>
  <c r="Y69" i="1"/>
  <c r="Y85" i="1"/>
  <c r="Y61" i="1"/>
  <c r="Y37" i="1"/>
  <c r="Y13" i="1"/>
  <c r="Y70" i="1"/>
  <c r="Y84" i="1"/>
  <c r="Y60" i="1"/>
  <c r="Y36" i="1"/>
  <c r="Y12" i="1"/>
  <c r="Y47" i="1"/>
  <c r="Y83" i="1"/>
  <c r="Y59" i="1"/>
  <c r="Y35" i="1"/>
  <c r="Y89" i="1"/>
  <c r="Y82" i="1"/>
  <c r="Y58" i="1"/>
  <c r="Y34" i="1"/>
  <c r="Y24" i="1"/>
  <c r="Y81" i="1"/>
  <c r="Y57" i="1"/>
  <c r="Y33" i="1"/>
  <c r="Y80" i="1"/>
  <c r="Y56" i="1"/>
  <c r="Y32" i="1"/>
  <c r="Y26" i="1"/>
  <c r="Y72" i="1"/>
  <c r="Y79" i="1"/>
  <c r="Y55" i="1"/>
  <c r="Y31" i="1"/>
  <c r="Y74" i="1"/>
  <c r="Y48" i="1"/>
  <c r="Y78" i="1"/>
  <c r="Y54" i="1"/>
  <c r="Y30" i="1"/>
  <c r="Y77" i="1"/>
  <c r="Y53" i="1"/>
  <c r="Y29" i="1"/>
  <c r="Y76" i="1"/>
  <c r="Y52" i="1"/>
  <c r="Y28" i="1"/>
  <c r="Y75" i="1"/>
  <c r="Y51" i="1"/>
  <c r="Y27" i="1"/>
  <c r="AA11" i="1"/>
  <c r="AA10" i="1"/>
  <c r="AA9" i="1"/>
  <c r="AA8" i="1"/>
  <c r="AA7" i="1"/>
  <c r="AA6" i="1"/>
  <c r="AC9" i="1"/>
  <c r="AC7" i="1"/>
  <c r="AC6" i="1"/>
  <c r="AC5" i="1"/>
  <c r="AC4" i="1"/>
  <c r="AC3" i="1"/>
  <c r="AA5" i="1"/>
  <c r="AA4" i="1"/>
  <c r="AA3" i="1"/>
  <c r="Z50" i="1"/>
  <c r="Z49" i="1"/>
  <c r="Z26" i="1"/>
  <c r="Z25" i="1"/>
  <c r="Z24" i="1"/>
  <c r="Z23" i="1"/>
  <c r="Z22" i="1"/>
  <c r="Z21" i="1"/>
  <c r="Z20" i="1"/>
  <c r="Z48" i="1"/>
  <c r="Z71" i="1"/>
  <c r="Z47" i="1"/>
  <c r="Z70" i="1"/>
  <c r="Z46" i="1"/>
  <c r="Z69" i="1"/>
  <c r="Z45" i="1"/>
  <c r="Z44" i="1"/>
  <c r="Z67" i="1"/>
  <c r="Z43" i="1"/>
  <c r="Z19" i="1"/>
  <c r="Z90" i="1"/>
  <c r="Z66" i="1"/>
  <c r="Z42" i="1"/>
  <c r="Z18" i="1"/>
  <c r="Z89" i="1"/>
  <c r="Z65" i="1"/>
  <c r="Z41" i="1"/>
  <c r="Z17" i="1"/>
  <c r="Z88" i="1"/>
  <c r="Z64" i="1"/>
  <c r="Z40" i="1"/>
  <c r="Z16" i="1"/>
  <c r="Z68" i="1"/>
  <c r="Z87" i="1"/>
  <c r="Z63" i="1"/>
  <c r="Z39" i="1"/>
  <c r="Z15" i="1"/>
  <c r="Z86" i="1"/>
  <c r="Z62" i="1"/>
  <c r="Z38" i="1"/>
  <c r="Z14" i="1"/>
  <c r="Z85" i="1"/>
  <c r="Z61" i="1"/>
  <c r="Z37" i="1"/>
  <c r="Z13" i="1"/>
  <c r="Z84" i="1"/>
  <c r="Z60" i="1"/>
  <c r="Z36" i="1"/>
  <c r="Z12" i="1"/>
  <c r="Z59" i="1"/>
  <c r="Z35" i="1"/>
  <c r="Z82" i="1"/>
  <c r="Z58" i="1"/>
  <c r="Z34" i="1"/>
  <c r="Z83" i="1"/>
  <c r="Z81" i="1"/>
  <c r="Z57" i="1"/>
  <c r="Z33" i="1"/>
  <c r="Z74" i="1"/>
  <c r="Z80" i="1"/>
  <c r="Z56" i="1"/>
  <c r="Z32" i="1"/>
  <c r="Z73" i="1"/>
  <c r="Z79" i="1"/>
  <c r="Z55" i="1"/>
  <c r="Z31" i="1"/>
  <c r="Z78" i="1"/>
  <c r="Z54" i="1"/>
  <c r="Z30" i="1"/>
  <c r="Z77" i="1"/>
  <c r="Z53" i="1"/>
  <c r="Z29" i="1"/>
  <c r="Z76" i="1"/>
  <c r="Z52" i="1"/>
  <c r="Z28" i="1"/>
  <c r="Z72" i="1"/>
  <c r="Z75" i="1"/>
  <c r="Z51" i="1"/>
  <c r="Z27" i="1"/>
  <c r="AH4" i="1"/>
  <c r="AH5" i="1"/>
  <c r="AH3" i="1"/>
  <c r="AH2" i="1"/>
  <c r="AG7" i="1"/>
  <c r="AH6" i="1"/>
  <c r="S6" i="1"/>
  <c r="J12" i="1"/>
  <c r="L12" i="1"/>
  <c r="K12" i="1"/>
  <c r="I20" i="1"/>
  <c r="K20" i="1" s="1"/>
  <c r="J16" i="1"/>
  <c r="K16" i="1"/>
  <c r="L16" i="1"/>
  <c r="J18" i="1"/>
  <c r="K18" i="1"/>
  <c r="L18" i="1"/>
  <c r="I22" i="1"/>
  <c r="I23" i="1"/>
  <c r="J19" i="1"/>
  <c r="K19" i="1"/>
  <c r="L19" i="1"/>
  <c r="L15" i="1"/>
  <c r="K15" i="1"/>
  <c r="J15" i="1"/>
  <c r="L14" i="1"/>
  <c r="K14" i="1"/>
  <c r="J14" i="1"/>
  <c r="L13" i="1"/>
  <c r="I17" i="1"/>
  <c r="K13" i="1"/>
  <c r="B82" i="1"/>
  <c r="C82" i="1" s="1"/>
  <c r="D82" i="1" s="1"/>
  <c r="B50" i="1"/>
  <c r="C50" i="1" s="1"/>
  <c r="D50" i="1" s="1"/>
  <c r="B49" i="1"/>
  <c r="C49" i="1" s="1"/>
  <c r="D49" i="1" s="1"/>
  <c r="B66" i="1"/>
  <c r="C66" i="1" s="1"/>
  <c r="E66" i="1" s="1"/>
  <c r="B34" i="1"/>
  <c r="C34" i="1" s="1"/>
  <c r="D34" i="1" s="1"/>
  <c r="B84" i="1"/>
  <c r="C84" i="1" s="1"/>
  <c r="E84" i="1" s="1"/>
  <c r="B33" i="1"/>
  <c r="C33" i="1" s="1"/>
  <c r="D33" i="1" s="1"/>
  <c r="B32" i="1"/>
  <c r="C32" i="1" s="1"/>
  <c r="D32" i="1" s="1"/>
  <c r="B31" i="1"/>
  <c r="C31" i="1" s="1"/>
  <c r="D31" i="1" s="1"/>
  <c r="B19" i="1"/>
  <c r="C19" i="1" s="1"/>
  <c r="E19" i="1" s="1"/>
  <c r="B18" i="1"/>
  <c r="C18" i="1" s="1"/>
  <c r="D18" i="1" s="1"/>
  <c r="B17" i="1"/>
  <c r="C17" i="1" s="1"/>
  <c r="D17" i="1" s="1"/>
  <c r="B16" i="1"/>
  <c r="C16" i="1" s="1"/>
  <c r="D16" i="1" s="1"/>
  <c r="B15" i="1"/>
  <c r="C15" i="1" s="1"/>
  <c r="D15" i="1" s="1"/>
  <c r="D90" i="1"/>
  <c r="E90" i="1"/>
  <c r="B83" i="1"/>
  <c r="C83" i="1" s="1"/>
  <c r="D83" i="1" s="1"/>
  <c r="B81" i="1"/>
  <c r="C81" i="1" s="1"/>
  <c r="D81" i="1" s="1"/>
  <c r="B46" i="1"/>
  <c r="C46" i="1" s="1"/>
  <c r="E46" i="1" s="1"/>
  <c r="B45" i="1"/>
  <c r="C45" i="1" s="1"/>
  <c r="D45" i="1" s="1"/>
  <c r="B30" i="1"/>
  <c r="C30" i="1" s="1"/>
  <c r="B14" i="1"/>
  <c r="C14" i="1" s="1"/>
  <c r="D14" i="1" s="1"/>
  <c r="B29" i="1"/>
  <c r="C29" i="1" s="1"/>
  <c r="D29" i="1" s="1"/>
  <c r="B64" i="1"/>
  <c r="C64" i="1" s="1"/>
  <c r="E64" i="1" s="1"/>
  <c r="B48" i="1"/>
  <c r="C48" i="1" s="1"/>
  <c r="E48" i="1" s="1"/>
  <c r="B79" i="1"/>
  <c r="C79" i="1" s="1"/>
  <c r="E79" i="1" s="1"/>
  <c r="B78" i="1"/>
  <c r="C78" i="1" s="1"/>
  <c r="E78" i="1" s="1"/>
  <c r="B13" i="1"/>
  <c r="C13" i="1" s="1"/>
  <c r="E13" i="1" s="1"/>
  <c r="B77" i="1"/>
  <c r="C77" i="1" s="1"/>
  <c r="D77" i="1" s="1"/>
  <c r="B60" i="1"/>
  <c r="C60" i="1" s="1"/>
  <c r="E60" i="1" s="1"/>
  <c r="B44" i="1"/>
  <c r="C44" i="1" s="1"/>
  <c r="D44" i="1" s="1"/>
  <c r="B28" i="1"/>
  <c r="C28" i="1" s="1"/>
  <c r="D28" i="1" s="1"/>
  <c r="B76" i="1"/>
  <c r="C76" i="1" s="1"/>
  <c r="E76" i="1" s="1"/>
  <c r="B59" i="1"/>
  <c r="C59" i="1" s="1"/>
  <c r="E59" i="1" s="1"/>
  <c r="B43" i="1"/>
  <c r="C43" i="1" s="1"/>
  <c r="D43" i="1" s="1"/>
  <c r="B80" i="1"/>
  <c r="C80" i="1" s="1"/>
  <c r="D80" i="1" s="1"/>
  <c r="B62" i="1"/>
  <c r="C62" i="1" s="1"/>
  <c r="D62" i="1" s="1"/>
  <c r="B61" i="1"/>
  <c r="C61" i="1" s="1"/>
  <c r="D61" i="1" s="1"/>
  <c r="B75" i="1"/>
  <c r="C75" i="1" s="1"/>
  <c r="D75" i="1" s="1"/>
  <c r="B58" i="1"/>
  <c r="C58" i="1" s="1"/>
  <c r="D58" i="1" s="1"/>
  <c r="B27" i="1"/>
  <c r="C27" i="1" s="1"/>
  <c r="D27" i="1" s="1"/>
  <c r="B42" i="1"/>
  <c r="C42" i="1" s="1"/>
  <c r="E42" i="1" s="1"/>
  <c r="B12" i="1"/>
  <c r="C12" i="1" s="1"/>
  <c r="E12" i="1" s="1"/>
  <c r="B74" i="1"/>
  <c r="C74" i="1" s="1"/>
  <c r="D74" i="1" s="1"/>
  <c r="B57" i="1"/>
  <c r="C57" i="1" s="1"/>
  <c r="D57" i="1" s="1"/>
  <c r="B41" i="1"/>
  <c r="C41" i="1" s="1"/>
  <c r="E41" i="1" s="1"/>
  <c r="B26" i="1"/>
  <c r="C26" i="1" s="1"/>
  <c r="D26" i="1" s="1"/>
  <c r="B73" i="1"/>
  <c r="C73" i="1" s="1"/>
  <c r="D73" i="1" s="1"/>
  <c r="B40" i="1"/>
  <c r="C40" i="1" s="1"/>
  <c r="D40" i="1" s="1"/>
  <c r="B25" i="1"/>
  <c r="C25" i="1" s="1"/>
  <c r="D25" i="1" s="1"/>
  <c r="B89" i="1"/>
  <c r="C89" i="1" s="1"/>
  <c r="E89" i="1" s="1"/>
  <c r="B56" i="1"/>
  <c r="C56" i="1" s="1"/>
  <c r="D56" i="1" s="1"/>
  <c r="B88" i="1"/>
  <c r="C88" i="1" s="1"/>
  <c r="E88" i="1" s="1"/>
  <c r="B72" i="1"/>
  <c r="C72" i="1" s="1"/>
  <c r="E72" i="1" s="1"/>
  <c r="B55" i="1"/>
  <c r="C55" i="1" s="1"/>
  <c r="D55" i="1" s="1"/>
  <c r="B39" i="1"/>
  <c r="C39" i="1" s="1"/>
  <c r="D39" i="1" s="1"/>
  <c r="B65" i="1"/>
  <c r="C65" i="1" s="1"/>
  <c r="D65" i="1" s="1"/>
  <c r="B71" i="1"/>
  <c r="C71" i="1" s="1"/>
  <c r="E71" i="1" s="1"/>
  <c r="B24" i="1"/>
  <c r="C24" i="1" s="1"/>
  <c r="B87" i="1"/>
  <c r="C87" i="1" s="1"/>
  <c r="D87" i="1" s="1"/>
  <c r="B70" i="1"/>
  <c r="C70" i="1" s="1"/>
  <c r="D70" i="1" s="1"/>
  <c r="B54" i="1"/>
  <c r="C54" i="1" s="1"/>
  <c r="E54" i="1" s="1"/>
  <c r="B38" i="1"/>
  <c r="C38" i="1" s="1"/>
  <c r="D38" i="1" s="1"/>
  <c r="B23" i="1"/>
  <c r="C23" i="1" s="1"/>
  <c r="D23" i="1" s="1"/>
  <c r="B69" i="1"/>
  <c r="C69" i="1" s="1"/>
  <c r="D69" i="1" s="1"/>
  <c r="B53" i="1"/>
  <c r="C53" i="1" s="1"/>
  <c r="D53" i="1" s="1"/>
  <c r="B37" i="1"/>
  <c r="C37" i="1" s="1"/>
  <c r="E37" i="1" s="1"/>
  <c r="B22" i="1"/>
  <c r="C22" i="1" s="1"/>
  <c r="E22" i="1" s="1"/>
  <c r="B86" i="1"/>
  <c r="C86" i="1" s="1"/>
  <c r="D86" i="1" s="1"/>
  <c r="B52" i="1"/>
  <c r="C52" i="1" s="1"/>
  <c r="D52" i="1" s="1"/>
  <c r="B63" i="1"/>
  <c r="C63" i="1" s="1"/>
  <c r="D63" i="1" s="1"/>
  <c r="B85" i="1"/>
  <c r="C85" i="1" s="1"/>
  <c r="E85" i="1" s="1"/>
  <c r="B68" i="1"/>
  <c r="C68" i="1" s="1"/>
  <c r="D68" i="1" s="1"/>
  <c r="B36" i="1"/>
  <c r="C36" i="1" s="1"/>
  <c r="E36" i="1" s="1"/>
  <c r="B21" i="1"/>
  <c r="C21" i="1" s="1"/>
  <c r="D21" i="1" s="1"/>
  <c r="B47" i="1"/>
  <c r="C47" i="1" s="1"/>
  <c r="D47" i="1" s="1"/>
  <c r="B67" i="1"/>
  <c r="C67" i="1" s="1"/>
  <c r="E67" i="1" s="1"/>
  <c r="B51" i="1"/>
  <c r="C51" i="1" s="1"/>
  <c r="D51" i="1" s="1"/>
  <c r="B35" i="1"/>
  <c r="C35" i="1" s="1"/>
  <c r="D35" i="1" s="1"/>
  <c r="B20" i="1"/>
  <c r="C20" i="1" s="1"/>
  <c r="E20" i="1" s="1"/>
  <c r="H10" i="1"/>
  <c r="H11" i="1"/>
  <c r="D9" i="1"/>
  <c r="E9" i="1"/>
  <c r="D6" i="1"/>
  <c r="E6" i="1"/>
  <c r="D3" i="1"/>
  <c r="E3" i="1"/>
  <c r="H7" i="1"/>
  <c r="E11" i="1"/>
  <c r="D7" i="1"/>
  <c r="E7" i="1"/>
  <c r="E4" i="1"/>
  <c r="D4" i="1"/>
  <c r="D10" i="1"/>
  <c r="E10" i="1"/>
  <c r="D8" i="1"/>
  <c r="E5" i="1"/>
  <c r="D2" i="1"/>
  <c r="AA73" i="1" l="1"/>
  <c r="AC73" i="1"/>
  <c r="AA14" i="1"/>
  <c r="AC14" i="1"/>
  <c r="AA44" i="1"/>
  <c r="AC44" i="1"/>
  <c r="AA55" i="1"/>
  <c r="AC55" i="1"/>
  <c r="AA43" i="1"/>
  <c r="AC43" i="1"/>
  <c r="AC32" i="1"/>
  <c r="AA32" i="1"/>
  <c r="AA38" i="1"/>
  <c r="AC38" i="1"/>
  <c r="AA45" i="1"/>
  <c r="AC45" i="1"/>
  <c r="AC56" i="1"/>
  <c r="AA56" i="1"/>
  <c r="AA62" i="1"/>
  <c r="AC62" i="1"/>
  <c r="AA69" i="1"/>
  <c r="AC69" i="1"/>
  <c r="AA80" i="1"/>
  <c r="AC80" i="1"/>
  <c r="AA86" i="1"/>
  <c r="AC86" i="1"/>
  <c r="AA46" i="1"/>
  <c r="AC46" i="1"/>
  <c r="AA37" i="1"/>
  <c r="AC37" i="1"/>
  <c r="AA15" i="1"/>
  <c r="AC15" i="1"/>
  <c r="AA70" i="1"/>
  <c r="AC70" i="1"/>
  <c r="AA79" i="1"/>
  <c r="AC79" i="1"/>
  <c r="AA27" i="1"/>
  <c r="AC27" i="1"/>
  <c r="AA74" i="1"/>
  <c r="AC74" i="1"/>
  <c r="AA39" i="1"/>
  <c r="AC39" i="1"/>
  <c r="AA47" i="1"/>
  <c r="AC47" i="1"/>
  <c r="AA51" i="1"/>
  <c r="AC51" i="1"/>
  <c r="AC33" i="1"/>
  <c r="AA33" i="1"/>
  <c r="AA63" i="1"/>
  <c r="AC63" i="1"/>
  <c r="AA71" i="1"/>
  <c r="AC71" i="1"/>
  <c r="AA85" i="1"/>
  <c r="AC85" i="1"/>
  <c r="AA75" i="1"/>
  <c r="AC75" i="1"/>
  <c r="AC57" i="1"/>
  <c r="AA57" i="1"/>
  <c r="AA87" i="1"/>
  <c r="AC87" i="1"/>
  <c r="AA48" i="1"/>
  <c r="AC48" i="1"/>
  <c r="AA72" i="1"/>
  <c r="AC72" i="1"/>
  <c r="AC81" i="1"/>
  <c r="AA81" i="1"/>
  <c r="AA68" i="1"/>
  <c r="AC68" i="1"/>
  <c r="AA20" i="1"/>
  <c r="AC20" i="1"/>
  <c r="AA28" i="1"/>
  <c r="AC28" i="1"/>
  <c r="AA16" i="1"/>
  <c r="AC16" i="1"/>
  <c r="AA21" i="1"/>
  <c r="AC21" i="1"/>
  <c r="AA52" i="1"/>
  <c r="AC52" i="1"/>
  <c r="AC83" i="1"/>
  <c r="AA83" i="1"/>
  <c r="AA40" i="1"/>
  <c r="AC40" i="1"/>
  <c r="AA22" i="1"/>
  <c r="AC22" i="1"/>
  <c r="AA76" i="1"/>
  <c r="AC76" i="1"/>
  <c r="AC34" i="1"/>
  <c r="AA34" i="1"/>
  <c r="AA64" i="1"/>
  <c r="AC64" i="1"/>
  <c r="AA23" i="1"/>
  <c r="AC23" i="1"/>
  <c r="AA29" i="1"/>
  <c r="AC29" i="1"/>
  <c r="AC58" i="1"/>
  <c r="AA58" i="1"/>
  <c r="AA88" i="1"/>
  <c r="AC88" i="1"/>
  <c r="AA24" i="1"/>
  <c r="AC24" i="1"/>
  <c r="AA67" i="1"/>
  <c r="AC67" i="1"/>
  <c r="AA53" i="1"/>
  <c r="AC53" i="1"/>
  <c r="AC82" i="1"/>
  <c r="AA82" i="1"/>
  <c r="AA17" i="1"/>
  <c r="AC17" i="1"/>
  <c r="AA25" i="1"/>
  <c r="AC25" i="1"/>
  <c r="AA77" i="1"/>
  <c r="AC77" i="1"/>
  <c r="AC35" i="1"/>
  <c r="AA35" i="1"/>
  <c r="AA41" i="1"/>
  <c r="AC41" i="1"/>
  <c r="AA26" i="1"/>
  <c r="AC26" i="1"/>
  <c r="AA61" i="1"/>
  <c r="AC61" i="1"/>
  <c r="AC59" i="1"/>
  <c r="AA59" i="1"/>
  <c r="AA65" i="1"/>
  <c r="AC65" i="1"/>
  <c r="AA49" i="1"/>
  <c r="AC49" i="1"/>
  <c r="AA19" i="1"/>
  <c r="AC19" i="1"/>
  <c r="AA30" i="1"/>
  <c r="AC30" i="1"/>
  <c r="AC12" i="1"/>
  <c r="AA12" i="1"/>
  <c r="AA89" i="1"/>
  <c r="AC89" i="1"/>
  <c r="AA50" i="1"/>
  <c r="AC50" i="1"/>
  <c r="AA54" i="1"/>
  <c r="AC54" i="1"/>
  <c r="AC36" i="1"/>
  <c r="AA36" i="1"/>
  <c r="AA18" i="1"/>
  <c r="AC18" i="1"/>
  <c r="AA78" i="1"/>
  <c r="AC78" i="1"/>
  <c r="AC60" i="1"/>
  <c r="AA60" i="1"/>
  <c r="AA42" i="1"/>
  <c r="AC42" i="1"/>
  <c r="AC84" i="1"/>
  <c r="AA84" i="1"/>
  <c r="AA66" i="1"/>
  <c r="AC66" i="1"/>
  <c r="AA31" i="1"/>
  <c r="AC31" i="1"/>
  <c r="AA13" i="1"/>
  <c r="AC13" i="1"/>
  <c r="AA90" i="1"/>
  <c r="AC90" i="1"/>
  <c r="AG8" i="1"/>
  <c r="AH7" i="1"/>
  <c r="S7" i="1"/>
  <c r="J20" i="1"/>
  <c r="I24" i="1"/>
  <c r="L20" i="1"/>
  <c r="L17" i="1"/>
  <c r="I21" i="1"/>
  <c r="K17" i="1"/>
  <c r="J17" i="1"/>
  <c r="I27" i="1"/>
  <c r="J23" i="1"/>
  <c r="K23" i="1"/>
  <c r="L23" i="1"/>
  <c r="I26" i="1"/>
  <c r="J22" i="1"/>
  <c r="K22" i="1"/>
  <c r="L22" i="1"/>
  <c r="E43" i="1"/>
  <c r="E31" i="1"/>
  <c r="E87" i="1"/>
  <c r="E33" i="1"/>
  <c r="D48" i="1"/>
  <c r="D66" i="1"/>
  <c r="D84" i="1"/>
  <c r="E82" i="1"/>
  <c r="E49" i="1"/>
  <c r="D59" i="1"/>
  <c r="E15" i="1"/>
  <c r="E28" i="1"/>
  <c r="E73" i="1"/>
  <c r="E40" i="1"/>
  <c r="D19" i="1"/>
  <c r="D79" i="1"/>
  <c r="E32" i="1"/>
  <c r="E34" i="1"/>
  <c r="E50" i="1"/>
  <c r="D71" i="1"/>
  <c r="E65" i="1"/>
  <c r="E16" i="1"/>
  <c r="D20" i="1"/>
  <c r="D46" i="1"/>
  <c r="E83" i="1"/>
  <c r="E35" i="1"/>
  <c r="E39" i="1"/>
  <c r="E45" i="1"/>
  <c r="E55" i="1"/>
  <c r="E81" i="1"/>
  <c r="D60" i="1"/>
  <c r="D88" i="1"/>
  <c r="E18" i="1"/>
  <c r="E63" i="1"/>
  <c r="E17" i="1"/>
  <c r="D13" i="1"/>
  <c r="D72" i="1"/>
  <c r="D89" i="1"/>
  <c r="E51" i="1"/>
  <c r="E58" i="1"/>
  <c r="E44" i="1"/>
  <c r="E25" i="1"/>
  <c r="D85" i="1"/>
  <c r="E26" i="1"/>
  <c r="E75" i="1"/>
  <c r="E56" i="1"/>
  <c r="E14" i="1"/>
  <c r="E68" i="1"/>
  <c r="D78" i="1"/>
  <c r="D36" i="1"/>
  <c r="E62" i="1"/>
  <c r="E80" i="1"/>
  <c r="E61" i="1"/>
  <c r="E77" i="1"/>
  <c r="D64" i="1"/>
  <c r="D30" i="1"/>
  <c r="E30" i="1"/>
  <c r="D41" i="1"/>
  <c r="D54" i="1"/>
  <c r="E53" i="1"/>
  <c r="D24" i="1"/>
  <c r="E24" i="1"/>
  <c r="D12" i="1"/>
  <c r="E38" i="1"/>
  <c r="E70" i="1"/>
  <c r="E52" i="1"/>
  <c r="E57" i="1"/>
  <c r="D37" i="1"/>
  <c r="E29" i="1"/>
  <c r="D22" i="1"/>
  <c r="E47" i="1"/>
  <c r="E23" i="1"/>
  <c r="E21" i="1"/>
  <c r="D76" i="1"/>
  <c r="D67" i="1"/>
  <c r="E69" i="1"/>
  <c r="D42" i="1"/>
  <c r="E74" i="1"/>
  <c r="E86" i="1"/>
  <c r="E27" i="1"/>
  <c r="AG9" i="1" l="1"/>
  <c r="AH8" i="1"/>
  <c r="S8" i="1"/>
  <c r="I28" i="1"/>
  <c r="L24" i="1"/>
  <c r="J24" i="1"/>
  <c r="K24" i="1"/>
  <c r="J21" i="1"/>
  <c r="K21" i="1"/>
  <c r="L21" i="1"/>
  <c r="I25" i="1"/>
  <c r="I30" i="1"/>
  <c r="J26" i="1"/>
  <c r="K26" i="1"/>
  <c r="L26" i="1"/>
  <c r="I31" i="1"/>
  <c r="J27" i="1"/>
  <c r="K27" i="1"/>
  <c r="L27" i="1"/>
  <c r="AG10" i="1" l="1"/>
  <c r="AH9" i="1"/>
  <c r="S9" i="1"/>
  <c r="J28" i="1"/>
  <c r="I32" i="1"/>
  <c r="L28" i="1"/>
  <c r="K28" i="1"/>
  <c r="I34" i="1"/>
  <c r="J30" i="1"/>
  <c r="K30" i="1"/>
  <c r="L30" i="1"/>
  <c r="I35" i="1"/>
  <c r="J31" i="1"/>
  <c r="K31" i="1"/>
  <c r="L31" i="1"/>
  <c r="L25" i="1"/>
  <c r="I29" i="1"/>
  <c r="J25" i="1"/>
  <c r="K25" i="1"/>
  <c r="AG11" i="1" l="1"/>
  <c r="AH10" i="1"/>
  <c r="S10" i="1"/>
  <c r="J32" i="1"/>
  <c r="L32" i="1"/>
  <c r="I36" i="1"/>
  <c r="K32" i="1"/>
  <c r="I33" i="1"/>
  <c r="J29" i="1"/>
  <c r="K29" i="1"/>
  <c r="L29" i="1"/>
  <c r="I39" i="1"/>
  <c r="J35" i="1"/>
  <c r="K35" i="1"/>
  <c r="L35" i="1"/>
  <c r="I38" i="1"/>
  <c r="J34" i="1"/>
  <c r="K34" i="1"/>
  <c r="L34" i="1"/>
  <c r="AH11" i="1" l="1"/>
  <c r="AG12" i="1"/>
  <c r="S11" i="1"/>
  <c r="I40" i="1"/>
  <c r="L36" i="1"/>
  <c r="K36" i="1"/>
  <c r="J36" i="1"/>
  <c r="I42" i="1"/>
  <c r="J38" i="1"/>
  <c r="K38" i="1"/>
  <c r="L38" i="1"/>
  <c r="I37" i="1"/>
  <c r="L33" i="1"/>
  <c r="K33" i="1"/>
  <c r="J33" i="1"/>
  <c r="I43" i="1"/>
  <c r="J39" i="1"/>
  <c r="K39" i="1"/>
  <c r="L39" i="1"/>
  <c r="AG13" i="1" l="1"/>
  <c r="AH12" i="1"/>
  <c r="S12" i="1"/>
  <c r="I44" i="1"/>
  <c r="K40" i="1"/>
  <c r="J40" i="1"/>
  <c r="L40" i="1"/>
  <c r="I41" i="1"/>
  <c r="J37" i="1"/>
  <c r="K37" i="1"/>
  <c r="L37" i="1"/>
  <c r="I46" i="1"/>
  <c r="J42" i="1"/>
  <c r="K42" i="1"/>
  <c r="L42" i="1"/>
  <c r="I47" i="1"/>
  <c r="J43" i="1"/>
  <c r="K43" i="1"/>
  <c r="L43" i="1"/>
  <c r="AG14" i="1" l="1"/>
  <c r="AH13" i="1"/>
  <c r="S13" i="1"/>
  <c r="I48" i="1"/>
  <c r="L44" i="1"/>
  <c r="K44" i="1"/>
  <c r="J44" i="1"/>
  <c r="I51" i="1"/>
  <c r="J47" i="1"/>
  <c r="K47" i="1"/>
  <c r="L47" i="1"/>
  <c r="I45" i="1"/>
  <c r="L41" i="1"/>
  <c r="J41" i="1"/>
  <c r="K41" i="1"/>
  <c r="I50" i="1"/>
  <c r="J46" i="1"/>
  <c r="K46" i="1"/>
  <c r="L46" i="1"/>
  <c r="AG15" i="1" l="1"/>
  <c r="AH14" i="1"/>
  <c r="S14" i="1"/>
  <c r="I52" i="1"/>
  <c r="L48" i="1"/>
  <c r="J48" i="1"/>
  <c r="K48" i="1"/>
  <c r="I49" i="1"/>
  <c r="J45" i="1"/>
  <c r="K45" i="1"/>
  <c r="L45" i="1"/>
  <c r="I54" i="1"/>
  <c r="J50" i="1"/>
  <c r="K50" i="1"/>
  <c r="L50" i="1"/>
  <c r="I55" i="1"/>
  <c r="J51" i="1"/>
  <c r="K51" i="1"/>
  <c r="L51" i="1"/>
  <c r="AH15" i="1" l="1"/>
  <c r="AG16" i="1"/>
  <c r="S15" i="1"/>
  <c r="I56" i="1"/>
  <c r="L52" i="1"/>
  <c r="J52" i="1"/>
  <c r="K52" i="1"/>
  <c r="I59" i="1"/>
  <c r="L55" i="1"/>
  <c r="J55" i="1"/>
  <c r="K55" i="1"/>
  <c r="I53" i="1"/>
  <c r="L49" i="1"/>
  <c r="J49" i="1"/>
  <c r="K49" i="1"/>
  <c r="I58" i="1"/>
  <c r="J54" i="1"/>
  <c r="K54" i="1"/>
  <c r="L54" i="1"/>
  <c r="AH16" i="1" l="1"/>
  <c r="AG17" i="1"/>
  <c r="S16" i="1"/>
  <c r="I60" i="1"/>
  <c r="K56" i="1"/>
  <c r="L56" i="1"/>
  <c r="J56" i="1"/>
  <c r="I57" i="1"/>
  <c r="J53" i="1"/>
  <c r="K53" i="1"/>
  <c r="L53" i="1"/>
  <c r="I63" i="1"/>
  <c r="J59" i="1"/>
  <c r="K59" i="1"/>
  <c r="L59" i="1"/>
  <c r="I62" i="1"/>
  <c r="J58" i="1"/>
  <c r="K58" i="1"/>
  <c r="L58" i="1"/>
  <c r="AH17" i="1" l="1"/>
  <c r="AG18" i="1"/>
  <c r="S17" i="1"/>
  <c r="I64" i="1"/>
  <c r="L60" i="1"/>
  <c r="K60" i="1"/>
  <c r="J60" i="1"/>
  <c r="I61" i="1"/>
  <c r="L57" i="1"/>
  <c r="J57" i="1"/>
  <c r="K57" i="1"/>
  <c r="I67" i="1"/>
  <c r="L63" i="1"/>
  <c r="J63" i="1"/>
  <c r="K63" i="1"/>
  <c r="I66" i="1"/>
  <c r="J62" i="1"/>
  <c r="K62" i="1"/>
  <c r="L62" i="1"/>
  <c r="AG19" i="1" l="1"/>
  <c r="AH18" i="1"/>
  <c r="S18" i="1"/>
  <c r="I68" i="1"/>
  <c r="J64" i="1"/>
  <c r="K64" i="1"/>
  <c r="L64" i="1"/>
  <c r="I70" i="1"/>
  <c r="J66" i="1"/>
  <c r="K66" i="1"/>
  <c r="L66" i="1"/>
  <c r="I71" i="1"/>
  <c r="J67" i="1"/>
  <c r="K67" i="1"/>
  <c r="L67" i="1"/>
  <c r="I65" i="1"/>
  <c r="J61" i="1"/>
  <c r="K61" i="1"/>
  <c r="L61" i="1"/>
  <c r="AG20" i="1" l="1"/>
  <c r="AH19" i="1"/>
  <c r="S19" i="1"/>
  <c r="I72" i="1"/>
  <c r="L68" i="1"/>
  <c r="K68" i="1"/>
  <c r="J68" i="1"/>
  <c r="I69" i="1"/>
  <c r="L65" i="1"/>
  <c r="K65" i="1"/>
  <c r="J65" i="1"/>
  <c r="I75" i="1"/>
  <c r="K71" i="1"/>
  <c r="L71" i="1"/>
  <c r="J71" i="1"/>
  <c r="I74" i="1"/>
  <c r="K70" i="1"/>
  <c r="J70" i="1"/>
  <c r="L70" i="1"/>
  <c r="AG21" i="1" l="1"/>
  <c r="AH20" i="1"/>
  <c r="S20" i="1"/>
  <c r="I76" i="1"/>
  <c r="K72" i="1"/>
  <c r="L72" i="1"/>
  <c r="J72" i="1"/>
  <c r="I78" i="1"/>
  <c r="J74" i="1"/>
  <c r="K74" i="1"/>
  <c r="L74" i="1"/>
  <c r="I73" i="1"/>
  <c r="J69" i="1"/>
  <c r="K69" i="1"/>
  <c r="L69" i="1"/>
  <c r="I79" i="1"/>
  <c r="J75" i="1"/>
  <c r="K75" i="1"/>
  <c r="L75" i="1"/>
  <c r="AG22" i="1" l="1"/>
  <c r="AH21" i="1"/>
  <c r="S21" i="1"/>
  <c r="I80" i="1"/>
  <c r="L76" i="1"/>
  <c r="K76" i="1"/>
  <c r="J76" i="1"/>
  <c r="I83" i="1"/>
  <c r="J79" i="1"/>
  <c r="K79" i="1"/>
  <c r="L79" i="1"/>
  <c r="I77" i="1"/>
  <c r="L73" i="1"/>
  <c r="K73" i="1"/>
  <c r="J73" i="1"/>
  <c r="I82" i="1"/>
  <c r="J78" i="1"/>
  <c r="K78" i="1"/>
  <c r="L78" i="1"/>
  <c r="AG23" i="1" l="1"/>
  <c r="AH22" i="1"/>
  <c r="S22" i="1"/>
  <c r="I84" i="1"/>
  <c r="L80" i="1"/>
  <c r="J80" i="1"/>
  <c r="K80" i="1"/>
  <c r="I87" i="1"/>
  <c r="J83" i="1"/>
  <c r="K83" i="1"/>
  <c r="L83" i="1"/>
  <c r="I86" i="1"/>
  <c r="J82" i="1"/>
  <c r="K82" i="1"/>
  <c r="L82" i="1"/>
  <c r="I81" i="1"/>
  <c r="J77" i="1"/>
  <c r="K77" i="1"/>
  <c r="L77" i="1"/>
  <c r="AG24" i="1" l="1"/>
  <c r="AH23" i="1"/>
  <c r="S23" i="1"/>
  <c r="I88" i="1"/>
  <c r="K84" i="1"/>
  <c r="J84" i="1"/>
  <c r="L84" i="1"/>
  <c r="K87" i="1"/>
  <c r="J87" i="1"/>
  <c r="L87" i="1"/>
  <c r="I90" i="1"/>
  <c r="K86" i="1"/>
  <c r="J86" i="1"/>
  <c r="L86" i="1"/>
  <c r="I85" i="1"/>
  <c r="L81" i="1"/>
  <c r="K81" i="1"/>
  <c r="J81" i="1"/>
  <c r="AH24" i="1" l="1"/>
  <c r="AG25" i="1"/>
  <c r="S24" i="1"/>
  <c r="K88" i="1"/>
  <c r="J88" i="1"/>
  <c r="L88" i="1"/>
  <c r="I89" i="1"/>
  <c r="J85" i="1"/>
  <c r="K85" i="1"/>
  <c r="L85" i="1"/>
  <c r="J90" i="1"/>
  <c r="K90" i="1"/>
  <c r="L90" i="1"/>
  <c r="AG26" i="1" l="1"/>
  <c r="AH25" i="1"/>
  <c r="S25" i="1"/>
  <c r="O90" i="1"/>
  <c r="X90" i="1" s="1"/>
  <c r="N90" i="1"/>
  <c r="W90" i="1" s="1"/>
  <c r="M90" i="1"/>
  <c r="V90" i="1" s="1"/>
  <c r="L89" i="1"/>
  <c r="O74" i="1" s="1"/>
  <c r="X74" i="1" s="1"/>
  <c r="K89" i="1"/>
  <c r="N66" i="1" s="1"/>
  <c r="W66" i="1" s="1"/>
  <c r="J89" i="1"/>
  <c r="M82" i="1" s="1"/>
  <c r="V82" i="1" s="1"/>
  <c r="AH26" i="1" l="1"/>
  <c r="AG27" i="1"/>
  <c r="R74" i="1"/>
  <c r="Q90" i="1"/>
  <c r="Q66" i="1"/>
  <c r="R90" i="1"/>
  <c r="P82" i="1"/>
  <c r="P90" i="1"/>
  <c r="M45" i="1"/>
  <c r="V45" i="1" s="1"/>
  <c r="O76" i="1"/>
  <c r="X76" i="1" s="1"/>
  <c r="N80" i="1"/>
  <c r="W80" i="1" s="1"/>
  <c r="M4" i="1"/>
  <c r="V4" i="1" s="1"/>
  <c r="N33" i="1"/>
  <c r="W33" i="1" s="1"/>
  <c r="O49" i="1"/>
  <c r="X49" i="1" s="1"/>
  <c r="M69" i="1"/>
  <c r="V69" i="1" s="1"/>
  <c r="M63" i="1"/>
  <c r="V63" i="1" s="1"/>
  <c r="M50" i="1"/>
  <c r="V50" i="1" s="1"/>
  <c r="N39" i="1"/>
  <c r="W39" i="1" s="1"/>
  <c r="O17" i="1"/>
  <c r="X17" i="1" s="1"/>
  <c r="O57" i="1"/>
  <c r="X57" i="1" s="1"/>
  <c r="M64" i="1"/>
  <c r="V64" i="1" s="1"/>
  <c r="M49" i="1"/>
  <c r="V49" i="1" s="1"/>
  <c r="O65" i="1"/>
  <c r="X65" i="1" s="1"/>
  <c r="O52" i="1"/>
  <c r="X52" i="1" s="1"/>
  <c r="S26" i="1"/>
  <c r="O27" i="1"/>
  <c r="X27" i="1" s="1"/>
  <c r="N79" i="1"/>
  <c r="W79" i="1" s="1"/>
  <c r="N35" i="1"/>
  <c r="W35" i="1" s="1"/>
  <c r="O18" i="1"/>
  <c r="X18" i="1" s="1"/>
  <c r="O68" i="1"/>
  <c r="X68" i="1" s="1"/>
  <c r="M33" i="1"/>
  <c r="V33" i="1" s="1"/>
  <c r="N31" i="1"/>
  <c r="W31" i="1" s="1"/>
  <c r="O11" i="1"/>
  <c r="X11" i="1" s="1"/>
  <c r="O88" i="1"/>
  <c r="X88" i="1" s="1"/>
  <c r="N25" i="1"/>
  <c r="W25" i="1" s="1"/>
  <c r="O6" i="1"/>
  <c r="X6" i="1" s="1"/>
  <c r="N30" i="1"/>
  <c r="W30" i="1" s="1"/>
  <c r="O10" i="1"/>
  <c r="X10" i="1" s="1"/>
  <c r="M32" i="1"/>
  <c r="V32" i="1" s="1"/>
  <c r="O8" i="1"/>
  <c r="X8" i="1" s="1"/>
  <c r="N19" i="1"/>
  <c r="W19" i="1" s="1"/>
  <c r="O7" i="1"/>
  <c r="X7" i="1" s="1"/>
  <c r="O3" i="1"/>
  <c r="X3" i="1" s="1"/>
  <c r="M36" i="1"/>
  <c r="V36" i="1" s="1"/>
  <c r="M38" i="1"/>
  <c r="V38" i="1" s="1"/>
  <c r="M21" i="1"/>
  <c r="V21" i="1" s="1"/>
  <c r="N13" i="1"/>
  <c r="W13" i="1" s="1"/>
  <c r="N15" i="1"/>
  <c r="W15" i="1" s="1"/>
  <c r="M26" i="1"/>
  <c r="V26" i="1" s="1"/>
  <c r="M28" i="1"/>
  <c r="V28" i="1" s="1"/>
  <c r="M39" i="1"/>
  <c r="V39" i="1" s="1"/>
  <c r="M34" i="1"/>
  <c r="V34" i="1" s="1"/>
  <c r="M10" i="1"/>
  <c r="V10" i="1" s="1"/>
  <c r="M35" i="1"/>
  <c r="V35" i="1" s="1"/>
  <c r="M31" i="1"/>
  <c r="V31" i="1" s="1"/>
  <c r="M9" i="1"/>
  <c r="V9" i="1" s="1"/>
  <c r="M79" i="1"/>
  <c r="V79" i="1" s="1"/>
  <c r="N17" i="1"/>
  <c r="W17" i="1" s="1"/>
  <c r="O62" i="1"/>
  <c r="X62" i="1" s="1"/>
  <c r="N18" i="1"/>
  <c r="W18" i="1" s="1"/>
  <c r="O58" i="1"/>
  <c r="X58" i="1" s="1"/>
  <c r="N16" i="1"/>
  <c r="W16" i="1" s="1"/>
  <c r="O45" i="1"/>
  <c r="X45" i="1" s="1"/>
  <c r="M20" i="1"/>
  <c r="V20" i="1" s="1"/>
  <c r="N60" i="1"/>
  <c r="W60" i="1" s="1"/>
  <c r="N26" i="1"/>
  <c r="W26" i="1" s="1"/>
  <c r="O40" i="1"/>
  <c r="X40" i="1" s="1"/>
  <c r="N75" i="1"/>
  <c r="W75" i="1" s="1"/>
  <c r="M24" i="1"/>
  <c r="V24" i="1" s="1"/>
  <c r="N37" i="1"/>
  <c r="W37" i="1" s="1"/>
  <c r="N24" i="1"/>
  <c r="W24" i="1" s="1"/>
  <c r="O41" i="1"/>
  <c r="X41" i="1" s="1"/>
  <c r="M74" i="1"/>
  <c r="V74" i="1" s="1"/>
  <c r="M46" i="1"/>
  <c r="V46" i="1" s="1"/>
  <c r="M17" i="1"/>
  <c r="V17" i="1" s="1"/>
  <c r="N56" i="1"/>
  <c r="W56" i="1" s="1"/>
  <c r="N27" i="1"/>
  <c r="W27" i="1" s="1"/>
  <c r="O37" i="1"/>
  <c r="X37" i="1" s="1"/>
  <c r="M8" i="1"/>
  <c r="V8" i="1" s="1"/>
  <c r="N54" i="1"/>
  <c r="W54" i="1" s="1"/>
  <c r="N10" i="1"/>
  <c r="W10" i="1" s="1"/>
  <c r="O48" i="1"/>
  <c r="X48" i="1" s="1"/>
  <c r="N69" i="1"/>
  <c r="W69" i="1" s="1"/>
  <c r="M15" i="1"/>
  <c r="V15" i="1" s="1"/>
  <c r="N45" i="1"/>
  <c r="W45" i="1" s="1"/>
  <c r="N2" i="1"/>
  <c r="W2" i="1" s="1"/>
  <c r="O42" i="1"/>
  <c r="X42" i="1" s="1"/>
  <c r="M75" i="1"/>
  <c r="V75" i="1" s="1"/>
  <c r="M54" i="1"/>
  <c r="V54" i="1" s="1"/>
  <c r="M52" i="1"/>
  <c r="V52" i="1" s="1"/>
  <c r="M14" i="1"/>
  <c r="V14" i="1" s="1"/>
  <c r="N48" i="1"/>
  <c r="W48" i="1" s="1"/>
  <c r="N12" i="1"/>
  <c r="W12" i="1" s="1"/>
  <c r="O28" i="1"/>
  <c r="X28" i="1" s="1"/>
  <c r="M73" i="1"/>
  <c r="V73" i="1" s="1"/>
  <c r="M59" i="1"/>
  <c r="V59" i="1" s="1"/>
  <c r="M48" i="1"/>
  <c r="V48" i="1" s="1"/>
  <c r="M18" i="1"/>
  <c r="V18" i="1" s="1"/>
  <c r="N51" i="1"/>
  <c r="W51" i="1" s="1"/>
  <c r="O32" i="1"/>
  <c r="X32" i="1" s="1"/>
  <c r="M83" i="1"/>
  <c r="V83" i="1" s="1"/>
  <c r="M47" i="1"/>
  <c r="V47" i="1" s="1"/>
  <c r="M6" i="1"/>
  <c r="V6" i="1" s="1"/>
  <c r="N50" i="1"/>
  <c r="W50" i="1" s="1"/>
  <c r="O30" i="1"/>
  <c r="X30" i="1" s="1"/>
  <c r="M78" i="1"/>
  <c r="V78" i="1" s="1"/>
  <c r="M58" i="1"/>
  <c r="V58" i="1" s="1"/>
  <c r="M42" i="1"/>
  <c r="V42" i="1" s="1"/>
  <c r="M11" i="1"/>
  <c r="V11" i="1" s="1"/>
  <c r="N55" i="1"/>
  <c r="W55" i="1" s="1"/>
  <c r="O29" i="1"/>
  <c r="X29" i="1" s="1"/>
  <c r="M72" i="1"/>
  <c r="V72" i="1" s="1"/>
  <c r="M71" i="1"/>
  <c r="V71" i="1" s="1"/>
  <c r="M25" i="1"/>
  <c r="V25" i="1" s="1"/>
  <c r="M44" i="1"/>
  <c r="V44" i="1" s="1"/>
  <c r="M55" i="1"/>
  <c r="V55" i="1" s="1"/>
  <c r="M12" i="1"/>
  <c r="V12" i="1" s="1"/>
  <c r="N40" i="1"/>
  <c r="W40" i="1" s="1"/>
  <c r="O31" i="1"/>
  <c r="X31" i="1" s="1"/>
  <c r="O80" i="1"/>
  <c r="X80" i="1" s="1"/>
  <c r="M56" i="1"/>
  <c r="V56" i="1" s="1"/>
  <c r="M7" i="1"/>
  <c r="V7" i="1" s="1"/>
  <c r="N42" i="1"/>
  <c r="W42" i="1" s="1"/>
  <c r="O24" i="1"/>
  <c r="X24" i="1" s="1"/>
  <c r="M43" i="1"/>
  <c r="V43" i="1" s="1"/>
  <c r="M40" i="1"/>
  <c r="V40" i="1" s="1"/>
  <c r="M2" i="1"/>
  <c r="V2" i="1" s="1"/>
  <c r="N46" i="1"/>
  <c r="W46" i="1" s="1"/>
  <c r="O21" i="1"/>
  <c r="X21" i="1" s="1"/>
  <c r="O25" i="1"/>
  <c r="X25" i="1" s="1"/>
  <c r="M70" i="1"/>
  <c r="V70" i="1" s="1"/>
  <c r="O51" i="1"/>
  <c r="X51" i="1" s="1"/>
  <c r="O13" i="1"/>
  <c r="X13" i="1" s="1"/>
  <c r="O69" i="1"/>
  <c r="X69" i="1" s="1"/>
  <c r="O72" i="1"/>
  <c r="X72" i="1" s="1"/>
  <c r="M85" i="1"/>
  <c r="V85" i="1" s="1"/>
  <c r="O46" i="1"/>
  <c r="X46" i="1" s="1"/>
  <c r="O22" i="1"/>
  <c r="X22" i="1" s="1"/>
  <c r="O71" i="1"/>
  <c r="X71" i="1" s="1"/>
  <c r="O83" i="1"/>
  <c r="X83" i="1" s="1"/>
  <c r="O54" i="1"/>
  <c r="X54" i="1" s="1"/>
  <c r="O20" i="1"/>
  <c r="X20" i="1" s="1"/>
  <c r="N83" i="1"/>
  <c r="W83" i="1" s="1"/>
  <c r="N65" i="1"/>
  <c r="W65" i="1" s="1"/>
  <c r="M23" i="1"/>
  <c r="V23" i="1" s="1"/>
  <c r="N29" i="1"/>
  <c r="W29" i="1" s="1"/>
  <c r="N3" i="1"/>
  <c r="W3" i="1" s="1"/>
  <c r="O55" i="1"/>
  <c r="X55" i="1" s="1"/>
  <c r="O9" i="1"/>
  <c r="X9" i="1" s="1"/>
  <c r="N71" i="1"/>
  <c r="W71" i="1" s="1"/>
  <c r="N44" i="1"/>
  <c r="W44" i="1" s="1"/>
  <c r="N20" i="1"/>
  <c r="W20" i="1" s="1"/>
  <c r="N81" i="1"/>
  <c r="W81" i="1" s="1"/>
  <c r="O50" i="1"/>
  <c r="X50" i="1" s="1"/>
  <c r="O23" i="1"/>
  <c r="X23" i="1" s="1"/>
  <c r="N64" i="1"/>
  <c r="W64" i="1" s="1"/>
  <c r="N36" i="1"/>
  <c r="W36" i="1" s="1"/>
  <c r="N8" i="1"/>
  <c r="W8" i="1" s="1"/>
  <c r="O64" i="1"/>
  <c r="X64" i="1" s="1"/>
  <c r="O38" i="1"/>
  <c r="X38" i="1" s="1"/>
  <c r="O15" i="1"/>
  <c r="X15" i="1" s="1"/>
  <c r="N61" i="1"/>
  <c r="W61" i="1" s="1"/>
  <c r="M62" i="1"/>
  <c r="V62" i="1" s="1"/>
  <c r="M37" i="1"/>
  <c r="V37" i="1" s="1"/>
  <c r="M16" i="1"/>
  <c r="V16" i="1" s="1"/>
  <c r="N63" i="1"/>
  <c r="W63" i="1" s="1"/>
  <c r="N38" i="1"/>
  <c r="W38" i="1" s="1"/>
  <c r="N14" i="1"/>
  <c r="W14" i="1" s="1"/>
  <c r="N88" i="1"/>
  <c r="W88" i="1" s="1"/>
  <c r="O47" i="1"/>
  <c r="X47" i="1" s="1"/>
  <c r="O16" i="1"/>
  <c r="X16" i="1" s="1"/>
  <c r="M81" i="1"/>
  <c r="V81" i="1" s="1"/>
  <c r="N70" i="1"/>
  <c r="W70" i="1" s="1"/>
  <c r="M13" i="1"/>
  <c r="V13" i="1" s="1"/>
  <c r="N53" i="1"/>
  <c r="W53" i="1" s="1"/>
  <c r="N34" i="1"/>
  <c r="W34" i="1" s="1"/>
  <c r="N5" i="1"/>
  <c r="W5" i="1" s="1"/>
  <c r="O39" i="1"/>
  <c r="X39" i="1" s="1"/>
  <c r="O26" i="1"/>
  <c r="X26" i="1" s="1"/>
  <c r="N67" i="1"/>
  <c r="W67" i="1" s="1"/>
  <c r="M89" i="1"/>
  <c r="V89" i="1" s="1"/>
  <c r="M84" i="1"/>
  <c r="V84" i="1" s="1"/>
  <c r="M86" i="1"/>
  <c r="V86" i="1" s="1"/>
  <c r="M66" i="1"/>
  <c r="V66" i="1" s="1"/>
  <c r="M76" i="1"/>
  <c r="V76" i="1" s="1"/>
  <c r="M67" i="1"/>
  <c r="V67" i="1" s="1"/>
  <c r="M65" i="1"/>
  <c r="V65" i="1" s="1"/>
  <c r="M61" i="1"/>
  <c r="V61" i="1" s="1"/>
  <c r="M68" i="1"/>
  <c r="V68" i="1" s="1"/>
  <c r="M87" i="1"/>
  <c r="V87" i="1" s="1"/>
  <c r="M80" i="1"/>
  <c r="V80" i="1" s="1"/>
  <c r="M77" i="1"/>
  <c r="V77" i="1" s="1"/>
  <c r="M53" i="1"/>
  <c r="V53" i="1" s="1"/>
  <c r="M41" i="1"/>
  <c r="V41" i="1" s="1"/>
  <c r="M19" i="1"/>
  <c r="V19" i="1" s="1"/>
  <c r="N49" i="1"/>
  <c r="W49" i="1" s="1"/>
  <c r="N47" i="1"/>
  <c r="W47" i="1" s="1"/>
  <c r="N22" i="1"/>
  <c r="W22" i="1" s="1"/>
  <c r="O44" i="1"/>
  <c r="X44" i="1" s="1"/>
  <c r="O12" i="1"/>
  <c r="X12" i="1" s="1"/>
  <c r="N76" i="1"/>
  <c r="W76" i="1" s="1"/>
  <c r="N72" i="1"/>
  <c r="W72" i="1" s="1"/>
  <c r="N89" i="1"/>
  <c r="W89" i="1" s="1"/>
  <c r="N77" i="1"/>
  <c r="W77" i="1" s="1"/>
  <c r="N87" i="1"/>
  <c r="W87" i="1" s="1"/>
  <c r="N57" i="1"/>
  <c r="W57" i="1" s="1"/>
  <c r="N86" i="1"/>
  <c r="W86" i="1" s="1"/>
  <c r="N68" i="1"/>
  <c r="W68" i="1" s="1"/>
  <c r="M60" i="1"/>
  <c r="V60" i="1" s="1"/>
  <c r="M29" i="1"/>
  <c r="V29" i="1" s="1"/>
  <c r="M22" i="1"/>
  <c r="V22" i="1" s="1"/>
  <c r="N58" i="1"/>
  <c r="W58" i="1" s="1"/>
  <c r="N43" i="1"/>
  <c r="W43" i="1" s="1"/>
  <c r="N23" i="1"/>
  <c r="W23" i="1" s="1"/>
  <c r="O63" i="1"/>
  <c r="X63" i="1" s="1"/>
  <c r="O33" i="1"/>
  <c r="X33" i="1" s="1"/>
  <c r="O5" i="1"/>
  <c r="X5" i="1" s="1"/>
  <c r="N78" i="1"/>
  <c r="W78" i="1" s="1"/>
  <c r="N74" i="1"/>
  <c r="W74" i="1" s="1"/>
  <c r="O89" i="1"/>
  <c r="X89" i="1" s="1"/>
  <c r="O70" i="1"/>
  <c r="X70" i="1" s="1"/>
  <c r="O86" i="1"/>
  <c r="X86" i="1" s="1"/>
  <c r="O67" i="1"/>
  <c r="X67" i="1" s="1"/>
  <c r="O87" i="1"/>
  <c r="X87" i="1" s="1"/>
  <c r="O84" i="1"/>
  <c r="X84" i="1" s="1"/>
  <c r="O78" i="1"/>
  <c r="X78" i="1" s="1"/>
  <c r="O73" i="1"/>
  <c r="X73" i="1" s="1"/>
  <c r="O81" i="1"/>
  <c r="X81" i="1" s="1"/>
  <c r="O66" i="1"/>
  <c r="X66" i="1" s="1"/>
  <c r="O79" i="1"/>
  <c r="X79" i="1" s="1"/>
  <c r="N59" i="1"/>
  <c r="W59" i="1" s="1"/>
  <c r="N32" i="1"/>
  <c r="W32" i="1" s="1"/>
  <c r="N11" i="1"/>
  <c r="W11" i="1" s="1"/>
  <c r="O56" i="1"/>
  <c r="X56" i="1" s="1"/>
  <c r="O43" i="1"/>
  <c r="X43" i="1" s="1"/>
  <c r="O19" i="1"/>
  <c r="X19" i="1" s="1"/>
  <c r="M88" i="1"/>
  <c r="V88" i="1" s="1"/>
  <c r="N82" i="1"/>
  <c r="W82" i="1" s="1"/>
  <c r="N52" i="1"/>
  <c r="W52" i="1" s="1"/>
  <c r="N9" i="1"/>
  <c r="W9" i="1" s="1"/>
  <c r="N7" i="1"/>
  <c r="W7" i="1" s="1"/>
  <c r="O60" i="1"/>
  <c r="X60" i="1" s="1"/>
  <c r="O34" i="1"/>
  <c r="X34" i="1" s="1"/>
  <c r="O4" i="1"/>
  <c r="X4" i="1" s="1"/>
  <c r="N85" i="1"/>
  <c r="W85" i="1" s="1"/>
  <c r="O61" i="1"/>
  <c r="X61" i="1" s="1"/>
  <c r="N41" i="1"/>
  <c r="W41" i="1" s="1"/>
  <c r="N6" i="1"/>
  <c r="W6" i="1" s="1"/>
  <c r="O53" i="1"/>
  <c r="X53" i="1" s="1"/>
  <c r="O35" i="1"/>
  <c r="X35" i="1" s="1"/>
  <c r="O2" i="1"/>
  <c r="X2" i="1" s="1"/>
  <c r="O77" i="1"/>
  <c r="X77" i="1" s="1"/>
  <c r="O82" i="1"/>
  <c r="X82" i="1" s="1"/>
  <c r="O75" i="1"/>
  <c r="X75" i="1" s="1"/>
  <c r="M57" i="1"/>
  <c r="V57" i="1" s="1"/>
  <c r="M30" i="1"/>
  <c r="V30" i="1" s="1"/>
  <c r="M5" i="1"/>
  <c r="V5" i="1" s="1"/>
  <c r="N28" i="1"/>
  <c r="W28" i="1" s="1"/>
  <c r="N84" i="1"/>
  <c r="W84" i="1" s="1"/>
  <c r="M51" i="1"/>
  <c r="V51" i="1" s="1"/>
  <c r="M27" i="1"/>
  <c r="V27" i="1" s="1"/>
  <c r="M3" i="1"/>
  <c r="V3" i="1" s="1"/>
  <c r="N62" i="1"/>
  <c r="W62" i="1" s="1"/>
  <c r="N21" i="1"/>
  <c r="W21" i="1" s="1"/>
  <c r="N4" i="1"/>
  <c r="W4" i="1" s="1"/>
  <c r="O59" i="1"/>
  <c r="X59" i="1" s="1"/>
  <c r="O36" i="1"/>
  <c r="X36" i="1" s="1"/>
  <c r="O14" i="1"/>
  <c r="X14" i="1" s="1"/>
  <c r="N73" i="1"/>
  <c r="W73" i="1" s="1"/>
  <c r="O85" i="1"/>
  <c r="X85" i="1" s="1"/>
  <c r="AG28" i="1" l="1"/>
  <c r="AH27" i="1"/>
  <c r="Q12" i="1"/>
  <c r="R71" i="1"/>
  <c r="R40" i="1"/>
  <c r="R3" i="1"/>
  <c r="R17" i="1"/>
  <c r="Q75" i="1"/>
  <c r="Q32" i="1"/>
  <c r="R8" i="1"/>
  <c r="Q58" i="1"/>
  <c r="Q84" i="1"/>
  <c r="Q28" i="1"/>
  <c r="Q11" i="1"/>
  <c r="R29" i="1"/>
  <c r="R42" i="1"/>
  <c r="R45" i="1"/>
  <c r="Q43" i="1"/>
  <c r="R22" i="1"/>
  <c r="R38" i="1"/>
  <c r="Q8" i="1"/>
  <c r="R69" i="1"/>
  <c r="Q55" i="1"/>
  <c r="Q2" i="1"/>
  <c r="Q16" i="1"/>
  <c r="R10" i="1"/>
  <c r="R49" i="1"/>
  <c r="Q40" i="1"/>
  <c r="R83" i="1"/>
  <c r="Q60" i="1"/>
  <c r="R82" i="1"/>
  <c r="Q36" i="1"/>
  <c r="R13" i="1"/>
  <c r="Q45" i="1"/>
  <c r="R58" i="1"/>
  <c r="Q30" i="1"/>
  <c r="Q33" i="1"/>
  <c r="Q63" i="1"/>
  <c r="Q19" i="1"/>
  <c r="Q18" i="1"/>
  <c r="R6" i="1"/>
  <c r="Q37" i="1"/>
  <c r="R19" i="1"/>
  <c r="R43" i="1"/>
  <c r="Q86" i="1"/>
  <c r="R73" i="1"/>
  <c r="Q69" i="1"/>
  <c r="R62" i="1"/>
  <c r="Q25" i="1"/>
  <c r="Q80" i="1"/>
  <c r="Q68" i="1"/>
  <c r="R79" i="1"/>
  <c r="R50" i="1"/>
  <c r="R48" i="1"/>
  <c r="Q17" i="1"/>
  <c r="R88" i="1"/>
  <c r="R76" i="1"/>
  <c r="R54" i="1"/>
  <c r="Q39" i="1"/>
  <c r="R53" i="1"/>
  <c r="Q76" i="1"/>
  <c r="Q5" i="1"/>
  <c r="Q81" i="1"/>
  <c r="R21" i="1"/>
  <c r="R30" i="1"/>
  <c r="Q10" i="1"/>
  <c r="R11" i="1"/>
  <c r="R46" i="1"/>
  <c r="Q64" i="1"/>
  <c r="Q72" i="1"/>
  <c r="R84" i="1"/>
  <c r="Q6" i="1"/>
  <c r="R87" i="1"/>
  <c r="R12" i="1"/>
  <c r="Q34" i="1"/>
  <c r="Q20" i="1"/>
  <c r="Q46" i="1"/>
  <c r="Q50" i="1"/>
  <c r="Q54" i="1"/>
  <c r="Q31" i="1"/>
  <c r="R28" i="1"/>
  <c r="Q26" i="1"/>
  <c r="R35" i="1"/>
  <c r="R44" i="1"/>
  <c r="Q53" i="1"/>
  <c r="Q44" i="1"/>
  <c r="Q48" i="1"/>
  <c r="R64" i="1"/>
  <c r="R66" i="1"/>
  <c r="R81" i="1"/>
  <c r="R25" i="1"/>
  <c r="R85" i="1"/>
  <c r="R61" i="1"/>
  <c r="R86" i="1"/>
  <c r="Q22" i="1"/>
  <c r="Q71" i="1"/>
  <c r="R37" i="1"/>
  <c r="R68" i="1"/>
  <c r="R57" i="1"/>
  <c r="Q61" i="1"/>
  <c r="Q87" i="1"/>
  <c r="R77" i="1"/>
  <c r="R67" i="1"/>
  <c r="Q73" i="1"/>
  <c r="Q85" i="1"/>
  <c r="R70" i="1"/>
  <c r="Q47" i="1"/>
  <c r="Q70" i="1"/>
  <c r="R9" i="1"/>
  <c r="Q27" i="1"/>
  <c r="R18" i="1"/>
  <c r="R14" i="1"/>
  <c r="R4" i="1"/>
  <c r="R89" i="1"/>
  <c r="Q49" i="1"/>
  <c r="R55" i="1"/>
  <c r="R24" i="1"/>
  <c r="R32" i="1"/>
  <c r="Q56" i="1"/>
  <c r="Q35" i="1"/>
  <c r="Q82" i="1"/>
  <c r="R15" i="1"/>
  <c r="R23" i="1"/>
  <c r="R16" i="1"/>
  <c r="Q3" i="1"/>
  <c r="Q42" i="1"/>
  <c r="Q51" i="1"/>
  <c r="Q79" i="1"/>
  <c r="R20" i="1"/>
  <c r="Q57" i="1"/>
  <c r="R26" i="1"/>
  <c r="R59" i="1"/>
  <c r="R47" i="1"/>
  <c r="Q29" i="1"/>
  <c r="R27" i="1"/>
  <c r="Q23" i="1"/>
  <c r="Q59" i="1"/>
  <c r="Q67" i="1"/>
  <c r="Q89" i="1"/>
  <c r="Q7" i="1"/>
  <c r="R7" i="1"/>
  <c r="R75" i="1"/>
  <c r="R51" i="1"/>
  <c r="R39" i="1"/>
  <c r="R36" i="1"/>
  <c r="Q74" i="1"/>
  <c r="Q78" i="1"/>
  <c r="Q4" i="1"/>
  <c r="Q21" i="1"/>
  <c r="Q9" i="1"/>
  <c r="R33" i="1"/>
  <c r="Q14" i="1"/>
  <c r="Q65" i="1"/>
  <c r="R80" i="1"/>
  <c r="R41" i="1"/>
  <c r="Q15" i="1"/>
  <c r="R52" i="1"/>
  <c r="R56" i="1"/>
  <c r="R72" i="1"/>
  <c r="Q77" i="1"/>
  <c r="R2" i="1"/>
  <c r="R78" i="1"/>
  <c r="Q41" i="1"/>
  <c r="R34" i="1"/>
  <c r="R60" i="1"/>
  <c r="R5" i="1"/>
  <c r="Q88" i="1"/>
  <c r="Q62" i="1"/>
  <c r="Q52" i="1"/>
  <c r="R63" i="1"/>
  <c r="Q38" i="1"/>
  <c r="Q83" i="1"/>
  <c r="R31" i="1"/>
  <c r="Q24" i="1"/>
  <c r="Q13" i="1"/>
  <c r="R65" i="1"/>
  <c r="P23" i="1"/>
  <c r="P74" i="1"/>
  <c r="P21" i="1"/>
  <c r="P49" i="1"/>
  <c r="P39" i="1"/>
  <c r="P68" i="1"/>
  <c r="P12" i="1"/>
  <c r="P24" i="1"/>
  <c r="P38" i="1"/>
  <c r="P64" i="1"/>
  <c r="P37" i="1"/>
  <c r="P55" i="1"/>
  <c r="P36" i="1"/>
  <c r="P41" i="1"/>
  <c r="P48" i="1"/>
  <c r="P44" i="1"/>
  <c r="P14" i="1"/>
  <c r="P25" i="1"/>
  <c r="P19" i="1"/>
  <c r="P87" i="1"/>
  <c r="P22" i="1"/>
  <c r="P71" i="1"/>
  <c r="P54" i="1"/>
  <c r="P50" i="1"/>
  <c r="P18" i="1"/>
  <c r="P59" i="1"/>
  <c r="P80" i="1"/>
  <c r="P75" i="1"/>
  <c r="P20" i="1"/>
  <c r="P63" i="1"/>
  <c r="P28" i="1"/>
  <c r="P62" i="1"/>
  <c r="P60" i="1"/>
  <c r="P86" i="1"/>
  <c r="P32" i="1"/>
  <c r="P69" i="1"/>
  <c r="P81" i="1"/>
  <c r="P65" i="1"/>
  <c r="P76" i="1"/>
  <c r="P84" i="1"/>
  <c r="P88" i="1"/>
  <c r="P85" i="1"/>
  <c r="P42" i="1"/>
  <c r="P15" i="1"/>
  <c r="P34" i="1"/>
  <c r="P51" i="1"/>
  <c r="P70" i="1"/>
  <c r="P58" i="1"/>
  <c r="P73" i="1"/>
  <c r="P27" i="1"/>
  <c r="P29" i="1"/>
  <c r="P78" i="1"/>
  <c r="P53" i="1"/>
  <c r="P30" i="1"/>
  <c r="P89" i="1"/>
  <c r="P79" i="1"/>
  <c r="P45" i="1"/>
  <c r="P61" i="1"/>
  <c r="P66" i="1"/>
  <c r="P26" i="1"/>
  <c r="P67" i="1"/>
  <c r="P72" i="1"/>
  <c r="P31" i="1"/>
  <c r="P33" i="1"/>
  <c r="P46" i="1"/>
  <c r="P52" i="1"/>
  <c r="P13" i="1"/>
  <c r="P40" i="1"/>
  <c r="P47" i="1"/>
  <c r="P35" i="1"/>
  <c r="P17" i="1"/>
  <c r="T17" i="1" s="1"/>
  <c r="AI17" i="1" s="1"/>
  <c r="P56" i="1"/>
  <c r="P77" i="1"/>
  <c r="P16" i="1"/>
  <c r="P57" i="1"/>
  <c r="P43" i="1"/>
  <c r="P83" i="1"/>
  <c r="P9" i="1"/>
  <c r="P10" i="1"/>
  <c r="P2" i="1"/>
  <c r="P6" i="1"/>
  <c r="P7" i="1"/>
  <c r="P8" i="1"/>
  <c r="P5" i="1"/>
  <c r="P11" i="1"/>
  <c r="P4" i="1"/>
  <c r="P3" i="1"/>
  <c r="S27" i="1"/>
  <c r="T12" i="1" l="1"/>
  <c r="AI12" i="1" s="1"/>
  <c r="AG29" i="1"/>
  <c r="AH28" i="1"/>
  <c r="T23" i="1"/>
  <c r="AI23" i="1" s="1"/>
  <c r="T18" i="1"/>
  <c r="AI18" i="1" s="1"/>
  <c r="T8" i="1"/>
  <c r="T6" i="1"/>
  <c r="T21" i="1"/>
  <c r="AI21" i="1" s="1"/>
  <c r="T7" i="1"/>
  <c r="T24" i="1"/>
  <c r="AI24" i="1" s="1"/>
  <c r="T26" i="1"/>
  <c r="AI26" i="1" s="1"/>
  <c r="T2" i="1"/>
  <c r="T20" i="1"/>
  <c r="AI20" i="1" s="1"/>
  <c r="T14" i="1"/>
  <c r="AI14" i="1" s="1"/>
  <c r="T16" i="1"/>
  <c r="AI16" i="1" s="1"/>
  <c r="T10" i="1"/>
  <c r="T9" i="1"/>
  <c r="T22" i="1"/>
  <c r="AI22" i="1" s="1"/>
  <c r="T15" i="1"/>
  <c r="AI15" i="1" s="1"/>
  <c r="T13" i="1"/>
  <c r="AI13" i="1" s="1"/>
  <c r="T19" i="1"/>
  <c r="AI19" i="1" s="1"/>
  <c r="T3" i="1"/>
  <c r="T4" i="1"/>
  <c r="T11" i="1"/>
  <c r="T25" i="1"/>
  <c r="AI25" i="1" s="1"/>
  <c r="T5" i="1"/>
  <c r="S28" i="1"/>
  <c r="T27" i="1"/>
  <c r="AI27" i="1" s="1"/>
  <c r="U8" i="1" l="1"/>
  <c r="AI8" i="1"/>
  <c r="U3" i="1"/>
  <c r="AI3" i="1"/>
  <c r="U9" i="1"/>
  <c r="AI9" i="1"/>
  <c r="U7" i="1"/>
  <c r="AI7" i="1"/>
  <c r="U11" i="1"/>
  <c r="AI11" i="1"/>
  <c r="AH29" i="1"/>
  <c r="AG30" i="1"/>
  <c r="U10" i="1"/>
  <c r="AI10" i="1"/>
  <c r="U2" i="1"/>
  <c r="AI2" i="1"/>
  <c r="U6" i="1"/>
  <c r="AI6" i="1"/>
  <c r="U5" i="1"/>
  <c r="AI5" i="1"/>
  <c r="AI28" i="1"/>
  <c r="U4" i="1"/>
  <c r="AI4" i="1"/>
  <c r="S29" i="1"/>
  <c r="T28" i="1"/>
  <c r="AG31" i="1" l="1"/>
  <c r="AH30" i="1"/>
  <c r="S30" i="1"/>
  <c r="T29" i="1"/>
  <c r="AI29" i="1" s="1"/>
  <c r="AG32" i="1" l="1"/>
  <c r="AH31" i="1"/>
  <c r="S31" i="1"/>
  <c r="T30" i="1"/>
  <c r="AI30" i="1" s="1"/>
  <c r="AG33" i="1" l="1"/>
  <c r="AH32" i="1"/>
  <c r="S32" i="1"/>
  <c r="T31" i="1"/>
  <c r="AI31" i="1" s="1"/>
  <c r="AG34" i="1" l="1"/>
  <c r="AH33" i="1"/>
  <c r="S33" i="1"/>
  <c r="T32" i="1"/>
  <c r="AI32" i="1" s="1"/>
  <c r="AH34" i="1" l="1"/>
  <c r="AG35" i="1"/>
  <c r="S34" i="1"/>
  <c r="T33" i="1"/>
  <c r="AI33" i="1" s="1"/>
  <c r="AG36" i="1" l="1"/>
  <c r="AH35" i="1"/>
  <c r="S35" i="1"/>
  <c r="T34" i="1"/>
  <c r="AI34" i="1" s="1"/>
  <c r="AG37" i="1" l="1"/>
  <c r="AH36" i="1"/>
  <c r="T35" i="1"/>
  <c r="AI35" i="1" s="1"/>
  <c r="S36" i="1"/>
  <c r="AG38" i="1" l="1"/>
  <c r="AH37" i="1"/>
  <c r="S37" i="1"/>
  <c r="T36" i="1"/>
  <c r="AI36" i="1" s="1"/>
  <c r="AH38" i="1" l="1"/>
  <c r="AG39" i="1"/>
  <c r="S38" i="1"/>
  <c r="T37" i="1"/>
  <c r="AI37" i="1" s="1"/>
  <c r="AG40" i="1" l="1"/>
  <c r="AH39" i="1"/>
  <c r="S39" i="1"/>
  <c r="T38" i="1"/>
  <c r="AI38" i="1" s="1"/>
  <c r="AG41" i="1" l="1"/>
  <c r="AH40" i="1"/>
  <c r="T39" i="1"/>
  <c r="AI39" i="1" s="1"/>
  <c r="S40" i="1"/>
  <c r="AG42" i="1" l="1"/>
  <c r="AH41" i="1"/>
  <c r="S41" i="1"/>
  <c r="T40" i="1"/>
  <c r="AI40" i="1" s="1"/>
  <c r="AH42" i="1" l="1"/>
  <c r="AG43" i="1"/>
  <c r="S42" i="1"/>
  <c r="T41" i="1"/>
  <c r="AI41" i="1" s="1"/>
  <c r="AG44" i="1" l="1"/>
  <c r="AH43" i="1"/>
  <c r="S43" i="1"/>
  <c r="T42" i="1"/>
  <c r="AI42" i="1" s="1"/>
  <c r="AG45" i="1" l="1"/>
  <c r="AH44" i="1"/>
  <c r="T43" i="1"/>
  <c r="AI43" i="1" s="1"/>
  <c r="S44" i="1"/>
  <c r="AH45" i="1" l="1"/>
  <c r="AG46" i="1"/>
  <c r="T44" i="1"/>
  <c r="AI44" i="1" s="1"/>
  <c r="S45" i="1"/>
  <c r="AG47" i="1" l="1"/>
  <c r="AH46" i="1"/>
  <c r="T45" i="1"/>
  <c r="AI45" i="1" s="1"/>
  <c r="S46" i="1"/>
  <c r="AG48" i="1" l="1"/>
  <c r="AH47" i="1"/>
  <c r="T46" i="1"/>
  <c r="AI46" i="1" s="1"/>
  <c r="S47" i="1"/>
  <c r="AG49" i="1" l="1"/>
  <c r="AH48" i="1"/>
  <c r="T47" i="1"/>
  <c r="AI47" i="1" s="1"/>
  <c r="S48" i="1"/>
  <c r="AG50" i="1" l="1"/>
  <c r="AH49" i="1"/>
  <c r="S49" i="1"/>
  <c r="T48" i="1"/>
  <c r="AI48" i="1" s="1"/>
  <c r="AG51" i="1" l="1"/>
  <c r="AH50" i="1"/>
  <c r="T49" i="1"/>
  <c r="AI49" i="1" s="1"/>
  <c r="S50" i="1"/>
  <c r="AH51" i="1" l="1"/>
  <c r="AG52" i="1"/>
  <c r="S51" i="1"/>
  <c r="T50" i="1"/>
  <c r="AI50" i="1" s="1"/>
  <c r="AG53" i="1" l="1"/>
  <c r="AH52" i="1"/>
  <c r="S52" i="1"/>
  <c r="T51" i="1"/>
  <c r="AI51" i="1" s="1"/>
  <c r="AG54" i="1" l="1"/>
  <c r="AH53" i="1"/>
  <c r="S53" i="1"/>
  <c r="T52" i="1"/>
  <c r="AI52" i="1" s="1"/>
  <c r="AH54" i="1" l="1"/>
  <c r="AG55" i="1"/>
  <c r="S54" i="1"/>
  <c r="T53" i="1"/>
  <c r="AI53" i="1" s="1"/>
  <c r="AG56" i="1" l="1"/>
  <c r="AH55" i="1"/>
  <c r="S55" i="1"/>
  <c r="T54" i="1"/>
  <c r="AI54" i="1" s="1"/>
  <c r="AG57" i="1" l="1"/>
  <c r="AH56" i="1"/>
  <c r="S56" i="1"/>
  <c r="T55" i="1"/>
  <c r="AI55" i="1" s="1"/>
  <c r="AG58" i="1" l="1"/>
  <c r="AH57" i="1"/>
  <c r="S57" i="1"/>
  <c r="T56" i="1"/>
  <c r="AI56" i="1" s="1"/>
  <c r="AG59" i="1" l="1"/>
  <c r="AH58" i="1"/>
  <c r="S58" i="1"/>
  <c r="T57" i="1"/>
  <c r="AI57" i="1" s="1"/>
  <c r="AG60" i="1" l="1"/>
  <c r="AH59" i="1"/>
  <c r="S59" i="1"/>
  <c r="T58" i="1"/>
  <c r="AI58" i="1" s="1"/>
  <c r="AH60" i="1" l="1"/>
  <c r="AG61" i="1"/>
  <c r="T59" i="1"/>
  <c r="AI59" i="1" s="1"/>
  <c r="S60" i="1"/>
  <c r="AH61" i="1" l="1"/>
  <c r="AG62" i="1"/>
  <c r="S61" i="1"/>
  <c r="T60" i="1"/>
  <c r="AI60" i="1" s="1"/>
  <c r="AH62" i="1" l="1"/>
  <c r="AG63" i="1"/>
  <c r="S62" i="1"/>
  <c r="T61" i="1"/>
  <c r="AI61" i="1" s="1"/>
  <c r="AG64" i="1" l="1"/>
  <c r="AH63" i="1"/>
  <c r="S63" i="1"/>
  <c r="T62" i="1"/>
  <c r="AI62" i="1" s="1"/>
  <c r="AH64" i="1" l="1"/>
  <c r="AG65" i="1"/>
  <c r="S64" i="1"/>
  <c r="T63" i="1"/>
  <c r="AI63" i="1" s="1"/>
  <c r="AH65" i="1" l="1"/>
  <c r="AG66" i="1"/>
  <c r="S65" i="1"/>
  <c r="T64" i="1"/>
  <c r="AI64" i="1" s="1"/>
  <c r="AG67" i="1" l="1"/>
  <c r="AH66" i="1"/>
  <c r="S66" i="1"/>
  <c r="T65" i="1"/>
  <c r="AI65" i="1" s="1"/>
  <c r="AH67" i="1" l="1"/>
  <c r="AG68" i="1"/>
  <c r="S67" i="1"/>
  <c r="T66" i="1"/>
  <c r="AI66" i="1" s="1"/>
  <c r="AH68" i="1" l="1"/>
  <c r="AG69" i="1"/>
  <c r="T67" i="1"/>
  <c r="AI67" i="1" s="1"/>
  <c r="S68" i="1"/>
  <c r="AH69" i="1" l="1"/>
  <c r="AG70" i="1"/>
  <c r="S69" i="1"/>
  <c r="T68" i="1"/>
  <c r="AI68" i="1" s="1"/>
  <c r="AH70" i="1" l="1"/>
  <c r="AG71" i="1"/>
  <c r="T69" i="1"/>
  <c r="AI69" i="1" s="1"/>
  <c r="S70" i="1"/>
  <c r="AH71" i="1" l="1"/>
  <c r="AG72" i="1"/>
  <c r="T70" i="1"/>
  <c r="AI70" i="1" s="1"/>
  <c r="S71" i="1"/>
  <c r="AH72" i="1" l="1"/>
  <c r="AG73" i="1"/>
  <c r="T71" i="1"/>
  <c r="AI71" i="1" s="1"/>
  <c r="S72" i="1"/>
  <c r="AG74" i="1" l="1"/>
  <c r="AH73" i="1"/>
  <c r="T72" i="1"/>
  <c r="AI72" i="1" s="1"/>
  <c r="S73" i="1"/>
  <c r="AG75" i="1" l="1"/>
  <c r="AH74" i="1"/>
  <c r="T73" i="1"/>
  <c r="AI73" i="1" s="1"/>
  <c r="S74" i="1"/>
  <c r="AG76" i="1" l="1"/>
  <c r="AH75" i="1"/>
  <c r="T74" i="1"/>
  <c r="AI74" i="1" s="1"/>
  <c r="S75" i="1"/>
  <c r="AH76" i="1" l="1"/>
  <c r="AG77" i="1"/>
  <c r="S76" i="1"/>
  <c r="T75" i="1"/>
  <c r="AI75" i="1" s="1"/>
  <c r="AH77" i="1" l="1"/>
  <c r="AG78" i="1"/>
  <c r="S77" i="1"/>
  <c r="T76" i="1"/>
  <c r="AI76" i="1" s="1"/>
  <c r="AG79" i="1" l="1"/>
  <c r="AH78" i="1"/>
  <c r="S78" i="1"/>
  <c r="T77" i="1"/>
  <c r="AI77" i="1" s="1"/>
  <c r="AH79" i="1" l="1"/>
  <c r="AG80" i="1"/>
  <c r="S79" i="1"/>
  <c r="T78" i="1"/>
  <c r="AI78" i="1" s="1"/>
  <c r="AG81" i="1" l="1"/>
  <c r="AH80" i="1"/>
  <c r="S80" i="1"/>
  <c r="T79" i="1"/>
  <c r="AI79" i="1" s="1"/>
  <c r="AG82" i="1" l="1"/>
  <c r="AH81" i="1"/>
  <c r="S81" i="1"/>
  <c r="T80" i="1"/>
  <c r="AI80" i="1" s="1"/>
  <c r="AH82" i="1" l="1"/>
  <c r="AG83" i="1"/>
  <c r="S82" i="1"/>
  <c r="T81" i="1"/>
  <c r="AI81" i="1" s="1"/>
  <c r="AG84" i="1" l="1"/>
  <c r="AH83" i="1"/>
  <c r="S83" i="1"/>
  <c r="T82" i="1"/>
  <c r="AI82" i="1" s="1"/>
  <c r="AH84" i="1" l="1"/>
  <c r="AG85" i="1"/>
  <c r="T83" i="1"/>
  <c r="AI83" i="1" s="1"/>
  <c r="S84" i="1"/>
  <c r="AH85" i="1" l="1"/>
  <c r="AG86" i="1"/>
  <c r="S85" i="1"/>
  <c r="T84" i="1"/>
  <c r="AI84" i="1" s="1"/>
  <c r="AH86" i="1" l="1"/>
  <c r="AG87" i="1"/>
  <c r="S86" i="1"/>
  <c r="T85" i="1"/>
  <c r="AI85" i="1" s="1"/>
  <c r="AG88" i="1" l="1"/>
  <c r="AH87" i="1"/>
  <c r="T86" i="1"/>
  <c r="AI86" i="1" s="1"/>
  <c r="S87" i="1"/>
  <c r="AG89" i="1" l="1"/>
  <c r="AH88" i="1"/>
  <c r="S88" i="1"/>
  <c r="T87" i="1"/>
  <c r="AI87" i="1" s="1"/>
  <c r="AG90" i="1" l="1"/>
  <c r="AH90" i="1" s="1"/>
  <c r="AH89" i="1"/>
  <c r="S89" i="1"/>
  <c r="S90" i="1" s="1"/>
  <c r="T88" i="1"/>
  <c r="AI88" i="1" s="1"/>
  <c r="T90" i="1" l="1"/>
  <c r="AI90" i="1" s="1"/>
  <c r="T89" i="1"/>
  <c r="AI89" i="1" s="1"/>
</calcChain>
</file>

<file path=xl/sharedStrings.xml><?xml version="1.0" encoding="utf-8"?>
<sst xmlns="http://schemas.openxmlformats.org/spreadsheetml/2006/main" count="12" uniqueCount="11">
  <si>
    <t>psi</t>
  </si>
  <si>
    <t>mbar</t>
  </si>
  <si>
    <t>bits</t>
  </si>
  <si>
    <t>mbar int</t>
  </si>
  <si>
    <t>dec</t>
  </si>
  <si>
    <t>hex</t>
  </si>
  <si>
    <t>Left Nibble</t>
  </si>
  <si>
    <t>Right Nibble</t>
  </si>
  <si>
    <t>Actual</t>
  </si>
  <si>
    <t>Calc</t>
  </si>
  <si>
    <t>psi 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</si>
</sst>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7" formatCode="0.00000"/>
    <numFmt numFmtId="168" formatCode="0.0000"/>
    <numFmt numFmtId="169" formatCode="0.000"/>
    <numFmt numFmtId="175" formatCode="0.0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/>
    <xf numFmtId="1" fontId="0" fillId="0" borderId="0" xfId="0" applyNumberFormat="1"/>
    <xf numFmtId="169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75" fontId="0" fillId="0" borderId="0" xfId="0" applyNumberFormat="1" applyAlignment="1">
      <alignment horizontal="center"/>
    </xf>
    <xf numFmtId="175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BA48-0095-4542-9231-CE99C17A46A1}">
  <dimension ref="A1:AI146"/>
  <sheetViews>
    <sheetView tabSelected="1" topLeftCell="Y1" zoomScale="85" zoomScaleNormal="85" workbookViewId="0">
      <pane ySplit="1" topLeftCell="A2" activePane="bottomLeft" state="frozen"/>
      <selection pane="bottomLeft" activeCell="AB12" sqref="AB2:AB12"/>
    </sheetView>
  </sheetViews>
  <sheetFormatPr defaultColWidth="11.7109375" defaultRowHeight="15" x14ac:dyDescent="0.25"/>
  <cols>
    <col min="1" max="2" width="9.7109375" bestFit="1" customWidth="1"/>
    <col min="3" max="3" width="10" bestFit="1" customWidth="1"/>
    <col min="4" max="4" width="16.5703125" bestFit="1" customWidth="1"/>
    <col min="5" max="5" width="18" bestFit="1" customWidth="1"/>
    <col min="6" max="6" width="9.42578125" bestFit="1" customWidth="1"/>
    <col min="7" max="7" width="11.28515625" bestFit="1" customWidth="1"/>
    <col min="8" max="8" width="14.28515625" bestFit="1" customWidth="1"/>
    <col min="9" max="21" width="9.140625" style="12" customWidth="1"/>
    <col min="30" max="34" width="11.7109375" style="1"/>
  </cols>
  <sheetData>
    <row r="1" spans="1:35" x14ac:dyDescent="0.25">
      <c r="A1" s="1" t="s">
        <v>4</v>
      </c>
      <c r="B1" s="1" t="s">
        <v>5</v>
      </c>
      <c r="C1" s="1" t="s">
        <v>2</v>
      </c>
      <c r="D1" s="1" t="s">
        <v>6</v>
      </c>
      <c r="E1" s="1" t="s">
        <v>7</v>
      </c>
      <c r="F1" s="1" t="s">
        <v>0</v>
      </c>
      <c r="G1" s="1" t="s">
        <v>1</v>
      </c>
      <c r="H1" s="1" t="s">
        <v>3</v>
      </c>
      <c r="I1" s="12" t="s">
        <v>10</v>
      </c>
      <c r="P1" s="12">
        <v>0.3</v>
      </c>
      <c r="Q1" s="12">
        <v>0.4</v>
      </c>
      <c r="R1" s="12">
        <v>0.5</v>
      </c>
      <c r="T1" s="12" t="s">
        <v>9</v>
      </c>
    </row>
    <row r="2" spans="1:35" x14ac:dyDescent="0.25">
      <c r="A2" s="1">
        <v>88</v>
      </c>
      <c r="B2" s="1" t="str">
        <f>DEC2HEX(A2,2)</f>
        <v>58</v>
      </c>
      <c r="C2" s="1" t="str">
        <f>HEX2BIN(B2)</f>
        <v>1011000</v>
      </c>
      <c r="D2" s="1" t="str">
        <f>LEFT(C2,4)</f>
        <v>1011</v>
      </c>
      <c r="E2" s="1" t="str">
        <f>RIGHT(C2,4)</f>
        <v>1000</v>
      </c>
      <c r="F2" s="3">
        <v>35.1</v>
      </c>
      <c r="G2" s="2">
        <f>F2*68.947572932</f>
        <v>2420.0598099132003</v>
      </c>
      <c r="H2" s="4">
        <f>TRUNC(G2)</f>
        <v>2420</v>
      </c>
      <c r="I2" s="13">
        <v>0.4</v>
      </c>
      <c r="J2" s="14">
        <f>IF(I2=0.3,1,0)</f>
        <v>0</v>
      </c>
      <c r="K2" s="14">
        <f>IF(I2=0.4,1,0)</f>
        <v>1</v>
      </c>
      <c r="L2" s="14">
        <f>IF(I2=0.5,1,0)</f>
        <v>0</v>
      </c>
      <c r="M2" s="14">
        <f>SUM($J2:$J$90)</f>
        <v>22</v>
      </c>
      <c r="N2" s="14">
        <f>SUM($K2:$K$90)</f>
        <v>45</v>
      </c>
      <c r="O2" s="14">
        <f>SUM($L2:$L$90)</f>
        <v>22</v>
      </c>
      <c r="P2">
        <f>M2*0.3</f>
        <v>6.6</v>
      </c>
      <c r="Q2">
        <f>N2*0.4</f>
        <v>18</v>
      </c>
      <c r="R2">
        <f>O2*0.5</f>
        <v>11</v>
      </c>
      <c r="S2">
        <v>-0.5</v>
      </c>
      <c r="T2">
        <f>SUM(P2:S2)</f>
        <v>35.1</v>
      </c>
      <c r="U2" t="b">
        <f>T2=F2</f>
        <v>1</v>
      </c>
      <c r="V2" t="b">
        <f>AA2=M2</f>
        <v>1</v>
      </c>
      <c r="W2" t="b">
        <f>AB2=N2</f>
        <v>1</v>
      </c>
      <c r="X2" t="b">
        <f>AC2=O2</f>
        <v>1</v>
      </c>
      <c r="Y2">
        <f>TRUNC(A2/4)</f>
        <v>22</v>
      </c>
      <c r="Z2" s="8">
        <f>A2/4</f>
        <v>22</v>
      </c>
      <c r="AA2" s="8">
        <f>TRUNC(Z2+3/4)</f>
        <v>22</v>
      </c>
      <c r="AB2" s="8">
        <f t="shared" ref="AB2:AB66" si="0">TRUNC(MOD(A2+1,2)+2*Z2+3/4)</f>
        <v>45</v>
      </c>
      <c r="AC2" s="8">
        <f>TRUNC(Z2+1/4)</f>
        <v>22</v>
      </c>
      <c r="AD2" s="1">
        <f>AA2*0.3</f>
        <v>6.6</v>
      </c>
      <c r="AE2" s="1">
        <f>AB2*0.4</f>
        <v>18</v>
      </c>
      <c r="AF2" s="1">
        <f>AC2*0.5</f>
        <v>11</v>
      </c>
      <c r="AG2" s="1">
        <v>-0.5</v>
      </c>
      <c r="AH2" s="1">
        <f>SUM(AD2:AG2)</f>
        <v>35.1</v>
      </c>
      <c r="AI2" t="b">
        <f>AH2=T2</f>
        <v>1</v>
      </c>
    </row>
    <row r="3" spans="1:35" x14ac:dyDescent="0.25">
      <c r="A3" s="4">
        <v>87</v>
      </c>
      <c r="B3" s="3" t="str">
        <f>DEC2HEX(A3,2)</f>
        <v>57</v>
      </c>
      <c r="C3" s="4" t="str">
        <f>HEX2BIN(B3)</f>
        <v>1010111</v>
      </c>
      <c r="D3" s="4" t="str">
        <f>LEFT(C3,4)</f>
        <v>1010</v>
      </c>
      <c r="E3" s="4" t="str">
        <f>RIGHT(C3,4)</f>
        <v>0111</v>
      </c>
      <c r="F3" s="3">
        <v>34.700000000000003</v>
      </c>
      <c r="G3" s="2">
        <f>F3*68.947572932</f>
        <v>2392.4807807404004</v>
      </c>
      <c r="H3" s="4">
        <f>TRUNC(G3)</f>
        <v>2392</v>
      </c>
      <c r="I3" s="13">
        <v>0.5</v>
      </c>
      <c r="J3" s="14">
        <f t="shared" ref="J3:J66" si="1">IF(I3=0.3,1,0)</f>
        <v>0</v>
      </c>
      <c r="K3" s="14">
        <f t="shared" ref="K3:K66" si="2">IF(I3=0.4,1,0)</f>
        <v>0</v>
      </c>
      <c r="L3" s="14">
        <f t="shared" ref="L3:L66" si="3">IF(I3=0.5,1,0)</f>
        <v>1</v>
      </c>
      <c r="M3" s="14">
        <f>SUM($J3:$J$90)</f>
        <v>22</v>
      </c>
      <c r="N3" s="14">
        <f>SUM($K3:$K$90)</f>
        <v>44</v>
      </c>
      <c r="O3" s="14">
        <f>SUM($L3:$L$90)</f>
        <v>22</v>
      </c>
      <c r="P3">
        <f t="shared" ref="P3:P66" si="4">M3*0.3</f>
        <v>6.6</v>
      </c>
      <c r="Q3">
        <f t="shared" ref="Q3:Q66" si="5">N3*0.4</f>
        <v>17.600000000000001</v>
      </c>
      <c r="R3">
        <f t="shared" ref="R3:R66" si="6">O3*0.5</f>
        <v>11</v>
      </c>
      <c r="S3">
        <f>S2</f>
        <v>-0.5</v>
      </c>
      <c r="T3">
        <f>SUM(P3:S3)</f>
        <v>34.700000000000003</v>
      </c>
      <c r="U3" t="b">
        <f t="shared" ref="U3:U11" si="7">T3=F3</f>
        <v>1</v>
      </c>
      <c r="V3" t="b">
        <f>AA3=M3</f>
        <v>1</v>
      </c>
      <c r="W3" t="b">
        <f>AB3=N3</f>
        <v>1</v>
      </c>
      <c r="X3" t="b">
        <f>AC3=O3</f>
        <v>1</v>
      </c>
      <c r="Y3">
        <f t="shared" ref="Y3:Y66" si="8">TRUNC(A3/4)</f>
        <v>21</v>
      </c>
      <c r="Z3" s="8">
        <f>A3/4</f>
        <v>21.75</v>
      </c>
      <c r="AA3" s="8">
        <f t="shared" ref="AA3:AA66" si="9">TRUNC(Z3+3/4)</f>
        <v>22</v>
      </c>
      <c r="AB3" s="8">
        <f t="shared" si="0"/>
        <v>44</v>
      </c>
      <c r="AC3" s="8">
        <f t="shared" ref="AC3:AC66" si="10">TRUNC(Z3+1/4)</f>
        <v>22</v>
      </c>
      <c r="AD3" s="1">
        <f t="shared" ref="AD3:AD66" si="11">AA3*0.3</f>
        <v>6.6</v>
      </c>
      <c r="AE3" s="1">
        <f t="shared" ref="AE3:AE66" si="12">AB3*0.4</f>
        <v>17.600000000000001</v>
      </c>
      <c r="AF3" s="1">
        <f t="shared" ref="AF3:AF66" si="13">AC3*0.5</f>
        <v>11</v>
      </c>
      <c r="AG3" s="1">
        <f>AG2</f>
        <v>-0.5</v>
      </c>
      <c r="AH3" s="1">
        <f t="shared" ref="AH3:AH17" si="14">SUM(AD3:AG3)</f>
        <v>34.700000000000003</v>
      </c>
      <c r="AI3" t="b">
        <f>AH3=T3</f>
        <v>1</v>
      </c>
    </row>
    <row r="4" spans="1:35" x14ac:dyDescent="0.25">
      <c r="A4" s="4">
        <v>86</v>
      </c>
      <c r="B4" s="1" t="str">
        <f>DEC2HEX(A4,2)</f>
        <v>56</v>
      </c>
      <c r="C4" s="1" t="str">
        <f>HEX2BIN(B4)</f>
        <v>1010110</v>
      </c>
      <c r="D4" s="1" t="str">
        <f>LEFT(C4,4)</f>
        <v>1010</v>
      </c>
      <c r="E4" s="1" t="str">
        <f>RIGHT(C4,4)</f>
        <v>0110</v>
      </c>
      <c r="F4" s="3">
        <v>34.200000000000003</v>
      </c>
      <c r="G4" s="2">
        <f>F4*68.947572932</f>
        <v>2358.0069942744003</v>
      </c>
      <c r="H4" s="4">
        <f>TRUNC(G4)</f>
        <v>2358</v>
      </c>
      <c r="I4" s="13">
        <v>0.4</v>
      </c>
      <c r="J4" s="14">
        <f t="shared" si="1"/>
        <v>0</v>
      </c>
      <c r="K4" s="14">
        <f t="shared" si="2"/>
        <v>1</v>
      </c>
      <c r="L4" s="14">
        <f t="shared" si="3"/>
        <v>0</v>
      </c>
      <c r="M4" s="14">
        <f>SUM($J4:$J$90)</f>
        <v>22</v>
      </c>
      <c r="N4" s="14">
        <f>SUM($K4:$K$90)</f>
        <v>44</v>
      </c>
      <c r="O4" s="14">
        <f>SUM($L4:$L$90)</f>
        <v>21</v>
      </c>
      <c r="P4">
        <f t="shared" si="4"/>
        <v>6.6</v>
      </c>
      <c r="Q4">
        <f t="shared" si="5"/>
        <v>17.600000000000001</v>
      </c>
      <c r="R4">
        <f t="shared" si="6"/>
        <v>10.5</v>
      </c>
      <c r="S4">
        <f t="shared" ref="S4:S67" si="15">S3</f>
        <v>-0.5</v>
      </c>
      <c r="T4">
        <f t="shared" ref="T4:T66" si="16">SUM(P4:S4)</f>
        <v>34.200000000000003</v>
      </c>
      <c r="U4" t="b">
        <f t="shared" si="7"/>
        <v>1</v>
      </c>
      <c r="V4" t="b">
        <f>AA4=M4</f>
        <v>1</v>
      </c>
      <c r="W4" t="b">
        <f>AB4=N4</f>
        <v>1</v>
      </c>
      <c r="X4" t="b">
        <f>AC4=O4</f>
        <v>1</v>
      </c>
      <c r="Y4">
        <f t="shared" si="8"/>
        <v>21</v>
      </c>
      <c r="Z4" s="8">
        <f>A4/4</f>
        <v>21.5</v>
      </c>
      <c r="AA4" s="8">
        <f t="shared" si="9"/>
        <v>22</v>
      </c>
      <c r="AB4" s="8">
        <f t="shared" si="0"/>
        <v>44</v>
      </c>
      <c r="AC4" s="8">
        <f t="shared" si="10"/>
        <v>21</v>
      </c>
      <c r="AD4" s="1">
        <f t="shared" si="11"/>
        <v>6.6</v>
      </c>
      <c r="AE4" s="1">
        <f t="shared" si="12"/>
        <v>17.600000000000001</v>
      </c>
      <c r="AF4" s="1">
        <f t="shared" si="13"/>
        <v>10.5</v>
      </c>
      <c r="AG4" s="1">
        <f t="shared" ref="AG4:AG17" si="17">AG3</f>
        <v>-0.5</v>
      </c>
      <c r="AH4" s="1">
        <f t="shared" si="14"/>
        <v>34.200000000000003</v>
      </c>
      <c r="AI4" t="b">
        <f>AH4=T4</f>
        <v>1</v>
      </c>
    </row>
    <row r="5" spans="1:35" x14ac:dyDescent="0.25">
      <c r="A5" s="1">
        <v>85</v>
      </c>
      <c r="B5" s="1" t="str">
        <f>DEC2HEX(A5,2)</f>
        <v>55</v>
      </c>
      <c r="C5" s="1" t="str">
        <f>HEX2BIN(B5)</f>
        <v>1010101</v>
      </c>
      <c r="D5" s="1" t="str">
        <f>LEFT(C5,4)</f>
        <v>1010</v>
      </c>
      <c r="E5" s="1" t="str">
        <f>RIGHT(C5,4)</f>
        <v>0101</v>
      </c>
      <c r="F5" s="3">
        <v>33.799999999999997</v>
      </c>
      <c r="G5" s="2">
        <f>F5*68.947572932</f>
        <v>2330.4279651016</v>
      </c>
      <c r="H5" s="4">
        <f>TRUNC(G5)</f>
        <v>2330</v>
      </c>
      <c r="I5" s="13">
        <v>0.3</v>
      </c>
      <c r="J5" s="14">
        <f t="shared" si="1"/>
        <v>1</v>
      </c>
      <c r="K5" s="14">
        <f t="shared" si="2"/>
        <v>0</v>
      </c>
      <c r="L5" s="14">
        <f t="shared" si="3"/>
        <v>0</v>
      </c>
      <c r="M5" s="14">
        <f>SUM($J5:$J$90)</f>
        <v>22</v>
      </c>
      <c r="N5" s="14">
        <f>SUM($K5:$K$90)</f>
        <v>43</v>
      </c>
      <c r="O5" s="14">
        <f>SUM($L5:$L$90)</f>
        <v>21</v>
      </c>
      <c r="P5">
        <f t="shared" si="4"/>
        <v>6.6</v>
      </c>
      <c r="Q5">
        <f t="shared" si="5"/>
        <v>17.2</v>
      </c>
      <c r="R5">
        <f t="shared" si="6"/>
        <v>10.5</v>
      </c>
      <c r="S5">
        <f t="shared" si="15"/>
        <v>-0.5</v>
      </c>
      <c r="T5">
        <f t="shared" si="16"/>
        <v>33.799999999999997</v>
      </c>
      <c r="U5" t="b">
        <f t="shared" si="7"/>
        <v>1</v>
      </c>
      <c r="V5" t="b">
        <f>AA5=M5</f>
        <v>1</v>
      </c>
      <c r="W5" t="b">
        <f>AB5=N5</f>
        <v>1</v>
      </c>
      <c r="X5" t="b">
        <f>AC5=O5</f>
        <v>1</v>
      </c>
      <c r="Y5">
        <f t="shared" si="8"/>
        <v>21</v>
      </c>
      <c r="Z5" s="8">
        <f>A5/4</f>
        <v>21.25</v>
      </c>
      <c r="AA5" s="8">
        <f t="shared" si="9"/>
        <v>22</v>
      </c>
      <c r="AB5" s="8">
        <f t="shared" si="0"/>
        <v>43</v>
      </c>
      <c r="AC5" s="8">
        <f t="shared" si="10"/>
        <v>21</v>
      </c>
      <c r="AD5" s="1">
        <f t="shared" si="11"/>
        <v>6.6</v>
      </c>
      <c r="AE5" s="1">
        <f t="shared" si="12"/>
        <v>17.2</v>
      </c>
      <c r="AF5" s="1">
        <f t="shared" si="13"/>
        <v>10.5</v>
      </c>
      <c r="AG5" s="1">
        <f t="shared" si="17"/>
        <v>-0.5</v>
      </c>
      <c r="AH5" s="1">
        <f t="shared" si="14"/>
        <v>33.799999999999997</v>
      </c>
      <c r="AI5" t="b">
        <f>AH5=T5</f>
        <v>1</v>
      </c>
    </row>
    <row r="6" spans="1:35" x14ac:dyDescent="0.25">
      <c r="A6" s="4">
        <v>84</v>
      </c>
      <c r="B6" s="3" t="str">
        <f>DEC2HEX(A6,2)</f>
        <v>54</v>
      </c>
      <c r="C6" s="4" t="str">
        <f>HEX2BIN(B6)</f>
        <v>1010100</v>
      </c>
      <c r="D6" s="4" t="str">
        <f>LEFT(C6,4)</f>
        <v>1010</v>
      </c>
      <c r="E6" s="4" t="str">
        <f>RIGHT(C6,4)</f>
        <v>0100</v>
      </c>
      <c r="F6" s="3">
        <v>33.5</v>
      </c>
      <c r="G6" s="2">
        <f>F6*68.947572932</f>
        <v>2309.7436932219998</v>
      </c>
      <c r="H6" s="4">
        <f>TRUNC(G6)</f>
        <v>2309</v>
      </c>
      <c r="I6" s="13">
        <v>0.4</v>
      </c>
      <c r="J6" s="14">
        <f t="shared" si="1"/>
        <v>0</v>
      </c>
      <c r="K6" s="14">
        <f t="shared" si="2"/>
        <v>1</v>
      </c>
      <c r="L6" s="14">
        <f t="shared" si="3"/>
        <v>0</v>
      </c>
      <c r="M6" s="14">
        <f>SUM($J6:$J$90)</f>
        <v>21</v>
      </c>
      <c r="N6" s="14">
        <f>SUM($K6:$K$90)</f>
        <v>43</v>
      </c>
      <c r="O6" s="14">
        <f>SUM($L6:$L$90)</f>
        <v>21</v>
      </c>
      <c r="P6">
        <f t="shared" si="4"/>
        <v>6.3</v>
      </c>
      <c r="Q6">
        <f t="shared" si="5"/>
        <v>17.2</v>
      </c>
      <c r="R6">
        <f t="shared" si="6"/>
        <v>10.5</v>
      </c>
      <c r="S6">
        <f t="shared" si="15"/>
        <v>-0.5</v>
      </c>
      <c r="T6">
        <f t="shared" si="16"/>
        <v>33.5</v>
      </c>
      <c r="U6" t="b">
        <f t="shared" si="7"/>
        <v>1</v>
      </c>
      <c r="V6" t="b">
        <f>AA6=M6</f>
        <v>1</v>
      </c>
      <c r="W6" t="b">
        <f>AB6=N6</f>
        <v>1</v>
      </c>
      <c r="X6" t="b">
        <f>AC6=O6</f>
        <v>1</v>
      </c>
      <c r="Y6">
        <f t="shared" si="8"/>
        <v>21</v>
      </c>
      <c r="Z6" s="8">
        <f>A6/4</f>
        <v>21</v>
      </c>
      <c r="AA6" s="8">
        <f t="shared" si="9"/>
        <v>21</v>
      </c>
      <c r="AB6" s="8">
        <f t="shared" si="0"/>
        <v>43</v>
      </c>
      <c r="AC6" s="8">
        <f t="shared" si="10"/>
        <v>21</v>
      </c>
      <c r="AD6" s="1">
        <f t="shared" si="11"/>
        <v>6.3</v>
      </c>
      <c r="AE6" s="1">
        <f t="shared" si="12"/>
        <v>17.2</v>
      </c>
      <c r="AF6" s="1">
        <f t="shared" si="13"/>
        <v>10.5</v>
      </c>
      <c r="AG6" s="1">
        <f t="shared" si="17"/>
        <v>-0.5</v>
      </c>
      <c r="AH6" s="1">
        <f t="shared" si="14"/>
        <v>33.5</v>
      </c>
      <c r="AI6" t="b">
        <f>AH6=T6</f>
        <v>1</v>
      </c>
    </row>
    <row r="7" spans="1:35" x14ac:dyDescent="0.25">
      <c r="A7" s="4">
        <v>83</v>
      </c>
      <c r="B7" s="3" t="str">
        <f>DEC2HEX(A7,2)</f>
        <v>53</v>
      </c>
      <c r="C7" s="4" t="str">
        <f>HEX2BIN(B7)</f>
        <v>1010011</v>
      </c>
      <c r="D7" s="4" t="str">
        <f>LEFT(C7,4)</f>
        <v>1010</v>
      </c>
      <c r="E7" s="4" t="str">
        <f>RIGHT(C7,4)</f>
        <v>0011</v>
      </c>
      <c r="F7" s="3">
        <v>33.1</v>
      </c>
      <c r="G7" s="2">
        <f>F7*68.947572932</f>
        <v>2282.1646640491999</v>
      </c>
      <c r="H7" s="4">
        <f>TRUNC(G7)</f>
        <v>2282</v>
      </c>
      <c r="I7" s="13">
        <v>0.5</v>
      </c>
      <c r="J7" s="14">
        <f t="shared" si="1"/>
        <v>0</v>
      </c>
      <c r="K7" s="14">
        <f t="shared" si="2"/>
        <v>0</v>
      </c>
      <c r="L7" s="14">
        <f t="shared" si="3"/>
        <v>1</v>
      </c>
      <c r="M7" s="14">
        <f>SUM($J7:$J$90)</f>
        <v>21</v>
      </c>
      <c r="N7" s="14">
        <f>SUM($K7:$K$90)</f>
        <v>42</v>
      </c>
      <c r="O7" s="14">
        <f>SUM($L7:$L$90)</f>
        <v>21</v>
      </c>
      <c r="P7">
        <f t="shared" si="4"/>
        <v>6.3</v>
      </c>
      <c r="Q7">
        <f t="shared" si="5"/>
        <v>16.8</v>
      </c>
      <c r="R7">
        <f t="shared" si="6"/>
        <v>10.5</v>
      </c>
      <c r="S7">
        <f t="shared" si="15"/>
        <v>-0.5</v>
      </c>
      <c r="T7">
        <f t="shared" si="16"/>
        <v>33.1</v>
      </c>
      <c r="U7" t="b">
        <f t="shared" si="7"/>
        <v>1</v>
      </c>
      <c r="V7" t="b">
        <f>AA7=M7</f>
        <v>1</v>
      </c>
      <c r="W7" t="b">
        <f>AB7=N7</f>
        <v>1</v>
      </c>
      <c r="X7" t="b">
        <f>AC7=O7</f>
        <v>1</v>
      </c>
      <c r="Y7">
        <f t="shared" si="8"/>
        <v>20</v>
      </c>
      <c r="Z7" s="8">
        <f>A7/4</f>
        <v>20.75</v>
      </c>
      <c r="AA7" s="8">
        <f t="shared" si="9"/>
        <v>21</v>
      </c>
      <c r="AB7" s="8">
        <f t="shared" si="0"/>
        <v>42</v>
      </c>
      <c r="AC7" s="8">
        <f t="shared" si="10"/>
        <v>21</v>
      </c>
      <c r="AD7" s="1">
        <f t="shared" si="11"/>
        <v>6.3</v>
      </c>
      <c r="AE7" s="1">
        <f t="shared" si="12"/>
        <v>16.8</v>
      </c>
      <c r="AF7" s="1">
        <f t="shared" si="13"/>
        <v>10.5</v>
      </c>
      <c r="AG7" s="1">
        <f t="shared" si="17"/>
        <v>-0.5</v>
      </c>
      <c r="AH7" s="1">
        <f t="shared" si="14"/>
        <v>33.1</v>
      </c>
      <c r="AI7" t="b">
        <f>AH7=T7</f>
        <v>1</v>
      </c>
    </row>
    <row r="8" spans="1:35" x14ac:dyDescent="0.25">
      <c r="A8" s="1">
        <v>82</v>
      </c>
      <c r="B8" s="1" t="str">
        <f>DEC2HEX(A8,2)</f>
        <v>52</v>
      </c>
      <c r="C8" s="1" t="str">
        <f>HEX2BIN(B8)</f>
        <v>1010010</v>
      </c>
      <c r="D8" s="1" t="str">
        <f>LEFT(C8,4)</f>
        <v>1010</v>
      </c>
      <c r="E8" s="1" t="str">
        <f>RIGHT(C8,4)</f>
        <v>0010</v>
      </c>
      <c r="F8" s="3">
        <v>32.6</v>
      </c>
      <c r="G8" s="2">
        <f>F8*68.947572932</f>
        <v>2247.6908775832003</v>
      </c>
      <c r="H8" s="4">
        <f>TRUNC(G8)</f>
        <v>2247</v>
      </c>
      <c r="I8" s="13">
        <v>0.4</v>
      </c>
      <c r="J8" s="14">
        <f t="shared" si="1"/>
        <v>0</v>
      </c>
      <c r="K8" s="14">
        <f t="shared" si="2"/>
        <v>1</v>
      </c>
      <c r="L8" s="14">
        <f t="shared" si="3"/>
        <v>0</v>
      </c>
      <c r="M8" s="14">
        <f>SUM($J8:$J$90)</f>
        <v>21</v>
      </c>
      <c r="N8" s="14">
        <f>SUM($K8:$K$90)</f>
        <v>42</v>
      </c>
      <c r="O8" s="14">
        <f>SUM($L8:$L$90)</f>
        <v>20</v>
      </c>
      <c r="P8">
        <f t="shared" si="4"/>
        <v>6.3</v>
      </c>
      <c r="Q8">
        <f t="shared" si="5"/>
        <v>16.8</v>
      </c>
      <c r="R8">
        <f t="shared" si="6"/>
        <v>10</v>
      </c>
      <c r="S8">
        <f t="shared" si="15"/>
        <v>-0.5</v>
      </c>
      <c r="T8">
        <f t="shared" si="16"/>
        <v>32.6</v>
      </c>
      <c r="U8" t="b">
        <f t="shared" si="7"/>
        <v>1</v>
      </c>
      <c r="V8" t="b">
        <f>AA8=M8</f>
        <v>1</v>
      </c>
      <c r="W8" t="b">
        <f>AB8=N8</f>
        <v>1</v>
      </c>
      <c r="X8" t="b">
        <f>AC8=O8</f>
        <v>1</v>
      </c>
      <c r="Y8">
        <f t="shared" si="8"/>
        <v>20</v>
      </c>
      <c r="Z8" s="8">
        <f>A8/4</f>
        <v>20.5</v>
      </c>
      <c r="AA8" s="8">
        <f t="shared" si="9"/>
        <v>21</v>
      </c>
      <c r="AB8" s="8">
        <f t="shared" si="0"/>
        <v>42</v>
      </c>
      <c r="AC8" s="8">
        <f t="shared" si="10"/>
        <v>20</v>
      </c>
      <c r="AD8" s="1">
        <f t="shared" si="11"/>
        <v>6.3</v>
      </c>
      <c r="AE8" s="1">
        <f t="shared" si="12"/>
        <v>16.8</v>
      </c>
      <c r="AF8" s="1">
        <f t="shared" si="13"/>
        <v>10</v>
      </c>
      <c r="AG8" s="1">
        <f t="shared" si="17"/>
        <v>-0.5</v>
      </c>
      <c r="AH8" s="1">
        <f t="shared" si="14"/>
        <v>32.6</v>
      </c>
      <c r="AI8" t="b">
        <f>AH8=T8</f>
        <v>1</v>
      </c>
    </row>
    <row r="9" spans="1:35" x14ac:dyDescent="0.25">
      <c r="A9" s="4">
        <v>81</v>
      </c>
      <c r="B9" s="3" t="str">
        <f>DEC2HEX(A9,2)</f>
        <v>51</v>
      </c>
      <c r="C9" s="4" t="str">
        <f>HEX2BIN(B9)</f>
        <v>1010001</v>
      </c>
      <c r="D9" s="4" t="str">
        <f>LEFT(C9,4)</f>
        <v>1010</v>
      </c>
      <c r="E9" s="4" t="str">
        <f>RIGHT(C9,4)</f>
        <v>0001</v>
      </c>
      <c r="F9" s="3">
        <v>32.200000000000003</v>
      </c>
      <c r="G9" s="2">
        <f>F9*68.947572932</f>
        <v>2220.1118484104004</v>
      </c>
      <c r="H9" s="4">
        <f>TRUNC(G9)</f>
        <v>2220</v>
      </c>
      <c r="I9" s="13">
        <v>0.3</v>
      </c>
      <c r="J9" s="14">
        <f t="shared" si="1"/>
        <v>1</v>
      </c>
      <c r="K9" s="14">
        <f t="shared" si="2"/>
        <v>0</v>
      </c>
      <c r="L9" s="14">
        <f t="shared" si="3"/>
        <v>0</v>
      </c>
      <c r="M9" s="14">
        <f>SUM($J9:$J$90)</f>
        <v>21</v>
      </c>
      <c r="N9" s="14">
        <f>SUM($K9:$K$90)</f>
        <v>41</v>
      </c>
      <c r="O9" s="14">
        <f>SUM($L9:$L$90)</f>
        <v>20</v>
      </c>
      <c r="P9">
        <f t="shared" si="4"/>
        <v>6.3</v>
      </c>
      <c r="Q9">
        <f t="shared" si="5"/>
        <v>16.400000000000002</v>
      </c>
      <c r="R9">
        <f t="shared" si="6"/>
        <v>10</v>
      </c>
      <c r="S9">
        <f t="shared" si="15"/>
        <v>-0.5</v>
      </c>
      <c r="T9">
        <f t="shared" si="16"/>
        <v>32.200000000000003</v>
      </c>
      <c r="U9" t="b">
        <f t="shared" si="7"/>
        <v>1</v>
      </c>
      <c r="V9" t="b">
        <f>AA9=M9</f>
        <v>1</v>
      </c>
      <c r="W9" t="b">
        <f>AB9=N9</f>
        <v>1</v>
      </c>
      <c r="X9" t="b">
        <f>AC9=O9</f>
        <v>1</v>
      </c>
      <c r="Y9">
        <f t="shared" si="8"/>
        <v>20</v>
      </c>
      <c r="Z9" s="8">
        <f>A9/4</f>
        <v>20.25</v>
      </c>
      <c r="AA9" s="8">
        <f t="shared" si="9"/>
        <v>21</v>
      </c>
      <c r="AB9" s="8">
        <f t="shared" si="0"/>
        <v>41</v>
      </c>
      <c r="AC9" s="8">
        <f t="shared" si="10"/>
        <v>20</v>
      </c>
      <c r="AD9" s="1">
        <f t="shared" si="11"/>
        <v>6.3</v>
      </c>
      <c r="AE9" s="1">
        <f t="shared" si="12"/>
        <v>16.400000000000002</v>
      </c>
      <c r="AF9" s="1">
        <f t="shared" si="13"/>
        <v>10</v>
      </c>
      <c r="AG9" s="1">
        <f t="shared" si="17"/>
        <v>-0.5</v>
      </c>
      <c r="AH9" s="1">
        <f t="shared" si="14"/>
        <v>32.200000000000003</v>
      </c>
      <c r="AI9" t="b">
        <f>AH9=T9</f>
        <v>1</v>
      </c>
    </row>
    <row r="10" spans="1:35" x14ac:dyDescent="0.25">
      <c r="A10" s="1">
        <v>80</v>
      </c>
      <c r="B10" s="1" t="str">
        <f>DEC2HEX(A10,2)</f>
        <v>50</v>
      </c>
      <c r="C10" s="1" t="str">
        <f>HEX2BIN(B10)</f>
        <v>1010000</v>
      </c>
      <c r="D10" s="1" t="str">
        <f>LEFT(C10,4)</f>
        <v>1010</v>
      </c>
      <c r="E10" s="1" t="str">
        <f>RIGHT(C10,4)</f>
        <v>0000</v>
      </c>
      <c r="F10" s="3">
        <v>31.9</v>
      </c>
      <c r="G10" s="2">
        <f>F10*68.947572932</f>
        <v>2199.4275765307998</v>
      </c>
      <c r="H10" s="4">
        <f>TRUNC(G10)</f>
        <v>2199</v>
      </c>
      <c r="I10" s="13">
        <v>0.4</v>
      </c>
      <c r="J10" s="14">
        <f t="shared" si="1"/>
        <v>0</v>
      </c>
      <c r="K10" s="14">
        <f t="shared" si="2"/>
        <v>1</v>
      </c>
      <c r="L10" s="14">
        <f t="shared" si="3"/>
        <v>0</v>
      </c>
      <c r="M10" s="14">
        <f>SUM($J10:$J$90)</f>
        <v>20</v>
      </c>
      <c r="N10" s="14">
        <f>SUM($K10:$K$90)</f>
        <v>41</v>
      </c>
      <c r="O10" s="14">
        <f>SUM($L10:$L$90)</f>
        <v>20</v>
      </c>
      <c r="P10">
        <f t="shared" si="4"/>
        <v>6</v>
      </c>
      <c r="Q10">
        <f t="shared" si="5"/>
        <v>16.400000000000002</v>
      </c>
      <c r="R10">
        <f t="shared" si="6"/>
        <v>10</v>
      </c>
      <c r="S10">
        <f t="shared" si="15"/>
        <v>-0.5</v>
      </c>
      <c r="T10">
        <f t="shared" si="16"/>
        <v>31.900000000000006</v>
      </c>
      <c r="U10" t="b">
        <f t="shared" si="7"/>
        <v>1</v>
      </c>
      <c r="V10" t="b">
        <f>AA10=M10</f>
        <v>1</v>
      </c>
      <c r="W10" t="b">
        <f>AB10=N10</f>
        <v>1</v>
      </c>
      <c r="X10" t="b">
        <f>AC10=O10</f>
        <v>1</v>
      </c>
      <c r="Y10">
        <f t="shared" si="8"/>
        <v>20</v>
      </c>
      <c r="Z10" s="8">
        <f>A10/4</f>
        <v>20</v>
      </c>
      <c r="AA10" s="8">
        <f t="shared" si="9"/>
        <v>20</v>
      </c>
      <c r="AB10" s="8">
        <f t="shared" si="0"/>
        <v>41</v>
      </c>
      <c r="AC10" s="8">
        <f t="shared" si="10"/>
        <v>20</v>
      </c>
      <c r="AD10" s="1">
        <f t="shared" si="11"/>
        <v>6</v>
      </c>
      <c r="AE10" s="1">
        <f t="shared" si="12"/>
        <v>16.400000000000002</v>
      </c>
      <c r="AF10" s="1">
        <f t="shared" si="13"/>
        <v>10</v>
      </c>
      <c r="AG10" s="1">
        <f t="shared" si="17"/>
        <v>-0.5</v>
      </c>
      <c r="AH10" s="1">
        <f t="shared" si="14"/>
        <v>31.900000000000006</v>
      </c>
      <c r="AI10" t="b">
        <f>AH10=T10</f>
        <v>1</v>
      </c>
    </row>
    <row r="11" spans="1:35" x14ac:dyDescent="0.25">
      <c r="A11" s="4">
        <v>79</v>
      </c>
      <c r="B11" s="3" t="str">
        <f>DEC2HEX(A11,2)</f>
        <v>4F</v>
      </c>
      <c r="C11" s="4" t="str">
        <f>HEX2BIN(B11)</f>
        <v>1001111</v>
      </c>
      <c r="D11" s="4" t="str">
        <f>LEFT(C11,4)</f>
        <v>1001</v>
      </c>
      <c r="E11" s="4" t="str">
        <f>RIGHT(C11,4)</f>
        <v>1111</v>
      </c>
      <c r="F11" s="3">
        <v>31.5</v>
      </c>
      <c r="G11" s="2">
        <f>F11*68.947572932</f>
        <v>2171.8485473579999</v>
      </c>
      <c r="H11" s="4">
        <f>TRUNC(G11)</f>
        <v>2171</v>
      </c>
      <c r="I11" s="13">
        <v>0.5</v>
      </c>
      <c r="J11" s="14">
        <f t="shared" si="1"/>
        <v>0</v>
      </c>
      <c r="K11" s="14">
        <f t="shared" si="2"/>
        <v>0</v>
      </c>
      <c r="L11" s="14">
        <f t="shared" si="3"/>
        <v>1</v>
      </c>
      <c r="M11" s="14">
        <f>SUM($J11:$J$90)</f>
        <v>20</v>
      </c>
      <c r="N11" s="14">
        <f>SUM($K11:$K$90)</f>
        <v>40</v>
      </c>
      <c r="O11" s="14">
        <f>SUM($L11:$L$90)</f>
        <v>20</v>
      </c>
      <c r="P11">
        <f t="shared" si="4"/>
        <v>6</v>
      </c>
      <c r="Q11">
        <f t="shared" si="5"/>
        <v>16</v>
      </c>
      <c r="R11">
        <f t="shared" si="6"/>
        <v>10</v>
      </c>
      <c r="S11">
        <f t="shared" si="15"/>
        <v>-0.5</v>
      </c>
      <c r="T11">
        <f t="shared" si="16"/>
        <v>31.5</v>
      </c>
      <c r="U11" t="b">
        <f t="shared" si="7"/>
        <v>1</v>
      </c>
      <c r="V11" t="b">
        <f>AA11=M11</f>
        <v>1</v>
      </c>
      <c r="W11" t="b">
        <f>AB11=N11</f>
        <v>1</v>
      </c>
      <c r="X11" t="b">
        <f>AC11=O11</f>
        <v>1</v>
      </c>
      <c r="Y11">
        <f t="shared" si="8"/>
        <v>19</v>
      </c>
      <c r="Z11" s="8">
        <f>A11/4</f>
        <v>19.75</v>
      </c>
      <c r="AA11" s="8">
        <f t="shared" si="9"/>
        <v>20</v>
      </c>
      <c r="AB11" s="8">
        <f t="shared" si="0"/>
        <v>40</v>
      </c>
      <c r="AC11" s="8">
        <f t="shared" si="10"/>
        <v>20</v>
      </c>
      <c r="AD11" s="1">
        <f t="shared" si="11"/>
        <v>6</v>
      </c>
      <c r="AE11" s="1">
        <f t="shared" si="12"/>
        <v>16</v>
      </c>
      <c r="AF11" s="1">
        <f t="shared" si="13"/>
        <v>10</v>
      </c>
      <c r="AG11" s="1">
        <f t="shared" si="17"/>
        <v>-0.5</v>
      </c>
      <c r="AH11" s="1">
        <f t="shared" si="14"/>
        <v>31.5</v>
      </c>
      <c r="AI11" t="b">
        <f>AH11=T11</f>
        <v>1</v>
      </c>
    </row>
    <row r="12" spans="1:35" x14ac:dyDescent="0.25">
      <c r="A12" s="4">
        <f>A11-1</f>
        <v>78</v>
      </c>
      <c r="B12" s="3" t="str">
        <f>DEC2HEX(A12)</f>
        <v>4E</v>
      </c>
      <c r="C12" s="4" t="str">
        <f>HEX2BIN(B12)</f>
        <v>1001110</v>
      </c>
      <c r="D12" s="4" t="str">
        <f>LEFT(C12,4)</f>
        <v>1001</v>
      </c>
      <c r="E12" s="4" t="str">
        <f>RIGHT(C12,4)</f>
        <v>1110</v>
      </c>
      <c r="F12" s="4"/>
      <c r="H12" s="4"/>
      <c r="I12" s="13">
        <f>I8</f>
        <v>0.4</v>
      </c>
      <c r="J12" s="14">
        <f t="shared" si="1"/>
        <v>0</v>
      </c>
      <c r="K12" s="14">
        <f t="shared" si="2"/>
        <v>1</v>
      </c>
      <c r="L12" s="14">
        <f t="shared" si="3"/>
        <v>0</v>
      </c>
      <c r="M12" s="14">
        <f>SUM($J12:$J$90)</f>
        <v>20</v>
      </c>
      <c r="N12" s="14">
        <f>SUM($K12:$K$90)</f>
        <v>40</v>
      </c>
      <c r="O12" s="14">
        <f>SUM($L12:$L$90)</f>
        <v>19</v>
      </c>
      <c r="P12">
        <f t="shared" si="4"/>
        <v>6</v>
      </c>
      <c r="Q12">
        <f t="shared" si="5"/>
        <v>16</v>
      </c>
      <c r="R12">
        <f t="shared" si="6"/>
        <v>9.5</v>
      </c>
      <c r="S12">
        <f t="shared" si="15"/>
        <v>-0.5</v>
      </c>
      <c r="T12">
        <f t="shared" si="16"/>
        <v>31</v>
      </c>
      <c r="U12"/>
      <c r="V12" t="b">
        <f>AA12=M12</f>
        <v>1</v>
      </c>
      <c r="W12" t="b">
        <f>AB12=N12</f>
        <v>1</v>
      </c>
      <c r="X12" t="b">
        <f>AC12=O12</f>
        <v>1</v>
      </c>
      <c r="Y12">
        <f t="shared" si="8"/>
        <v>19</v>
      </c>
      <c r="Z12" s="8">
        <f>A12/4</f>
        <v>19.5</v>
      </c>
      <c r="AA12" s="8">
        <f t="shared" si="9"/>
        <v>20</v>
      </c>
      <c r="AB12" s="8">
        <f t="shared" si="0"/>
        <v>40</v>
      </c>
      <c r="AC12" s="8">
        <f t="shared" si="10"/>
        <v>19</v>
      </c>
      <c r="AD12" s="1">
        <f t="shared" si="11"/>
        <v>6</v>
      </c>
      <c r="AE12" s="1">
        <f t="shared" si="12"/>
        <v>16</v>
      </c>
      <c r="AF12" s="1">
        <f t="shared" si="13"/>
        <v>9.5</v>
      </c>
      <c r="AG12" s="1">
        <f t="shared" si="17"/>
        <v>-0.5</v>
      </c>
      <c r="AH12" s="1">
        <f t="shared" si="14"/>
        <v>31</v>
      </c>
      <c r="AI12" t="b">
        <f>AH12=T12</f>
        <v>1</v>
      </c>
    </row>
    <row r="13" spans="1:35" x14ac:dyDescent="0.25">
      <c r="A13" s="4">
        <f t="shared" ref="A13:A76" si="18">A12-1</f>
        <v>77</v>
      </c>
      <c r="B13" s="3" t="str">
        <f t="shared" ref="B13:B76" si="19">DEC2HEX(A13)</f>
        <v>4D</v>
      </c>
      <c r="C13" s="4" t="str">
        <f t="shared" ref="C13:C76" si="20">HEX2BIN(B13)</f>
        <v>1001101</v>
      </c>
      <c r="D13" s="4" t="str">
        <f t="shared" ref="D13:D76" si="21">LEFT(C13,4)</f>
        <v>1001</v>
      </c>
      <c r="E13" s="4" t="str">
        <f t="shared" ref="E13:E76" si="22">RIGHT(C13,4)</f>
        <v>1101</v>
      </c>
      <c r="F13" s="4"/>
      <c r="H13" s="4"/>
      <c r="I13" s="13">
        <f t="shared" ref="I13:I76" si="23">I9</f>
        <v>0.3</v>
      </c>
      <c r="J13" s="14">
        <f t="shared" si="1"/>
        <v>1</v>
      </c>
      <c r="K13" s="14">
        <f t="shared" si="2"/>
        <v>0</v>
      </c>
      <c r="L13" s="14">
        <f t="shared" si="3"/>
        <v>0</v>
      </c>
      <c r="M13" s="14">
        <f>SUM($J13:$J$90)</f>
        <v>20</v>
      </c>
      <c r="N13" s="14">
        <f>SUM($K13:$K$90)</f>
        <v>39</v>
      </c>
      <c r="O13" s="14">
        <f>SUM($L13:$L$90)</f>
        <v>19</v>
      </c>
      <c r="P13">
        <f t="shared" si="4"/>
        <v>6</v>
      </c>
      <c r="Q13">
        <f t="shared" si="5"/>
        <v>15.600000000000001</v>
      </c>
      <c r="R13">
        <f t="shared" si="6"/>
        <v>9.5</v>
      </c>
      <c r="S13">
        <f t="shared" si="15"/>
        <v>-0.5</v>
      </c>
      <c r="T13">
        <f t="shared" si="16"/>
        <v>30.6</v>
      </c>
      <c r="U13"/>
      <c r="V13" t="b">
        <f>AA13=M13</f>
        <v>1</v>
      </c>
      <c r="W13" t="b">
        <f>AB13=N13</f>
        <v>1</v>
      </c>
      <c r="X13" t="b">
        <f>AC13=O13</f>
        <v>1</v>
      </c>
      <c r="Y13">
        <f t="shared" si="8"/>
        <v>19</v>
      </c>
      <c r="Z13" s="8">
        <f>A13/4</f>
        <v>19.25</v>
      </c>
      <c r="AA13" s="8">
        <f t="shared" si="9"/>
        <v>20</v>
      </c>
      <c r="AB13" s="8">
        <f t="shared" si="0"/>
        <v>39</v>
      </c>
      <c r="AC13" s="8">
        <f t="shared" si="10"/>
        <v>19</v>
      </c>
      <c r="AD13" s="1">
        <f t="shared" si="11"/>
        <v>6</v>
      </c>
      <c r="AE13" s="1">
        <f t="shared" si="12"/>
        <v>15.600000000000001</v>
      </c>
      <c r="AF13" s="1">
        <f t="shared" si="13"/>
        <v>9.5</v>
      </c>
      <c r="AG13" s="1">
        <f t="shared" si="17"/>
        <v>-0.5</v>
      </c>
      <c r="AH13" s="1">
        <f t="shared" si="14"/>
        <v>30.6</v>
      </c>
      <c r="AI13" t="b">
        <f>AH13=T13</f>
        <v>1</v>
      </c>
    </row>
    <row r="14" spans="1:35" x14ac:dyDescent="0.25">
      <c r="A14" s="4">
        <f t="shared" si="18"/>
        <v>76</v>
      </c>
      <c r="B14" s="3" t="str">
        <f t="shared" si="19"/>
        <v>4C</v>
      </c>
      <c r="C14" s="4" t="str">
        <f t="shared" si="20"/>
        <v>1001100</v>
      </c>
      <c r="D14" s="4" t="str">
        <f t="shared" si="21"/>
        <v>1001</v>
      </c>
      <c r="E14" s="4" t="str">
        <f t="shared" si="22"/>
        <v>1100</v>
      </c>
      <c r="F14" s="4"/>
      <c r="H14" s="4"/>
      <c r="I14" s="13">
        <f t="shared" si="23"/>
        <v>0.4</v>
      </c>
      <c r="J14" s="14">
        <f t="shared" si="1"/>
        <v>0</v>
      </c>
      <c r="K14" s="14">
        <f t="shared" si="2"/>
        <v>1</v>
      </c>
      <c r="L14" s="14">
        <f t="shared" si="3"/>
        <v>0</v>
      </c>
      <c r="M14" s="14">
        <f>SUM($J14:$J$90)</f>
        <v>19</v>
      </c>
      <c r="N14" s="14">
        <f>SUM($K14:$K$90)</f>
        <v>39</v>
      </c>
      <c r="O14" s="14">
        <f>SUM($L14:$L$90)</f>
        <v>19</v>
      </c>
      <c r="P14">
        <f t="shared" si="4"/>
        <v>5.7</v>
      </c>
      <c r="Q14">
        <f t="shared" si="5"/>
        <v>15.600000000000001</v>
      </c>
      <c r="R14">
        <f t="shared" si="6"/>
        <v>9.5</v>
      </c>
      <c r="S14">
        <f t="shared" si="15"/>
        <v>-0.5</v>
      </c>
      <c r="T14">
        <f t="shared" si="16"/>
        <v>30.3</v>
      </c>
      <c r="U14"/>
      <c r="V14" t="b">
        <f>AA14=M14</f>
        <v>1</v>
      </c>
      <c r="W14" t="b">
        <f>AB14=N14</f>
        <v>1</v>
      </c>
      <c r="X14" t="b">
        <f>AC14=O14</f>
        <v>1</v>
      </c>
      <c r="Y14">
        <f t="shared" si="8"/>
        <v>19</v>
      </c>
      <c r="Z14" s="8">
        <f>A14/4</f>
        <v>19</v>
      </c>
      <c r="AA14" s="8">
        <f t="shared" si="9"/>
        <v>19</v>
      </c>
      <c r="AB14" s="8">
        <f t="shared" si="0"/>
        <v>39</v>
      </c>
      <c r="AC14" s="8">
        <f t="shared" si="10"/>
        <v>19</v>
      </c>
      <c r="AD14" s="1">
        <f t="shared" si="11"/>
        <v>5.7</v>
      </c>
      <c r="AE14" s="1">
        <f t="shared" si="12"/>
        <v>15.600000000000001</v>
      </c>
      <c r="AF14" s="1">
        <f t="shared" si="13"/>
        <v>9.5</v>
      </c>
      <c r="AG14" s="1">
        <f t="shared" si="17"/>
        <v>-0.5</v>
      </c>
      <c r="AH14" s="1">
        <f t="shared" si="14"/>
        <v>30.3</v>
      </c>
      <c r="AI14" t="b">
        <f>AH14=T14</f>
        <v>1</v>
      </c>
    </row>
    <row r="15" spans="1:35" x14ac:dyDescent="0.25">
      <c r="A15" s="4">
        <f t="shared" si="18"/>
        <v>75</v>
      </c>
      <c r="B15" s="3" t="str">
        <f t="shared" si="19"/>
        <v>4B</v>
      </c>
      <c r="C15" s="4" t="str">
        <f t="shared" si="20"/>
        <v>1001011</v>
      </c>
      <c r="D15" s="4" t="str">
        <f t="shared" si="21"/>
        <v>1001</v>
      </c>
      <c r="E15" s="4" t="str">
        <f t="shared" si="22"/>
        <v>1011</v>
      </c>
      <c r="F15" s="4"/>
      <c r="H15" s="4"/>
      <c r="I15" s="13">
        <f t="shared" si="23"/>
        <v>0.5</v>
      </c>
      <c r="J15" s="14">
        <f t="shared" si="1"/>
        <v>0</v>
      </c>
      <c r="K15" s="14">
        <f t="shared" si="2"/>
        <v>0</v>
      </c>
      <c r="L15" s="14">
        <f t="shared" si="3"/>
        <v>1</v>
      </c>
      <c r="M15" s="14">
        <f>SUM($J15:$J$90)</f>
        <v>19</v>
      </c>
      <c r="N15" s="14">
        <f>SUM($K15:$K$90)</f>
        <v>38</v>
      </c>
      <c r="O15" s="14">
        <f>SUM($L15:$L$90)</f>
        <v>19</v>
      </c>
      <c r="P15">
        <f t="shared" si="4"/>
        <v>5.7</v>
      </c>
      <c r="Q15">
        <f t="shared" si="5"/>
        <v>15.200000000000001</v>
      </c>
      <c r="R15">
        <f t="shared" si="6"/>
        <v>9.5</v>
      </c>
      <c r="S15">
        <f t="shared" si="15"/>
        <v>-0.5</v>
      </c>
      <c r="T15">
        <f t="shared" si="16"/>
        <v>29.900000000000002</v>
      </c>
      <c r="U15"/>
      <c r="V15" t="b">
        <f>AA15=M15</f>
        <v>1</v>
      </c>
      <c r="W15" t="b">
        <f>AB15=N15</f>
        <v>1</v>
      </c>
      <c r="X15" t="b">
        <f>AC15=O15</f>
        <v>1</v>
      </c>
      <c r="Y15">
        <f t="shared" si="8"/>
        <v>18</v>
      </c>
      <c r="Z15" s="8">
        <f>A15/4</f>
        <v>18.75</v>
      </c>
      <c r="AA15" s="8">
        <f t="shared" si="9"/>
        <v>19</v>
      </c>
      <c r="AB15" s="8">
        <f t="shared" si="0"/>
        <v>38</v>
      </c>
      <c r="AC15" s="8">
        <f t="shared" si="10"/>
        <v>19</v>
      </c>
      <c r="AD15" s="1">
        <f t="shared" si="11"/>
        <v>5.7</v>
      </c>
      <c r="AE15" s="1">
        <f t="shared" si="12"/>
        <v>15.200000000000001</v>
      </c>
      <c r="AF15" s="1">
        <f t="shared" si="13"/>
        <v>9.5</v>
      </c>
      <c r="AG15" s="1">
        <f t="shared" si="17"/>
        <v>-0.5</v>
      </c>
      <c r="AH15" s="1">
        <f t="shared" si="14"/>
        <v>29.900000000000002</v>
      </c>
      <c r="AI15" t="b">
        <f>AH15=T15</f>
        <v>1</v>
      </c>
    </row>
    <row r="16" spans="1:35" x14ac:dyDescent="0.25">
      <c r="A16" s="4">
        <f t="shared" si="18"/>
        <v>74</v>
      </c>
      <c r="B16" s="3" t="str">
        <f t="shared" si="19"/>
        <v>4A</v>
      </c>
      <c r="C16" s="4" t="str">
        <f t="shared" si="20"/>
        <v>1001010</v>
      </c>
      <c r="D16" s="4" t="str">
        <f t="shared" si="21"/>
        <v>1001</v>
      </c>
      <c r="E16" s="4" t="str">
        <f t="shared" si="22"/>
        <v>1010</v>
      </c>
      <c r="F16" s="4"/>
      <c r="H16" s="4"/>
      <c r="I16" s="13">
        <f t="shared" si="23"/>
        <v>0.4</v>
      </c>
      <c r="J16" s="14">
        <f t="shared" si="1"/>
        <v>0</v>
      </c>
      <c r="K16" s="14">
        <f t="shared" si="2"/>
        <v>1</v>
      </c>
      <c r="L16" s="14">
        <f t="shared" si="3"/>
        <v>0</v>
      </c>
      <c r="M16" s="14">
        <f>SUM($J16:$J$90)</f>
        <v>19</v>
      </c>
      <c r="N16" s="14">
        <f>SUM($K16:$K$90)</f>
        <v>38</v>
      </c>
      <c r="O16" s="14">
        <f>SUM($L16:$L$90)</f>
        <v>18</v>
      </c>
      <c r="P16">
        <f t="shared" si="4"/>
        <v>5.7</v>
      </c>
      <c r="Q16">
        <f t="shared" si="5"/>
        <v>15.200000000000001</v>
      </c>
      <c r="R16">
        <f t="shared" si="6"/>
        <v>9</v>
      </c>
      <c r="S16">
        <f t="shared" si="15"/>
        <v>-0.5</v>
      </c>
      <c r="T16">
        <f t="shared" si="16"/>
        <v>29.400000000000002</v>
      </c>
      <c r="U16"/>
      <c r="V16" t="b">
        <f>AA16=M16</f>
        <v>1</v>
      </c>
      <c r="W16" t="b">
        <f>AB16=N16</f>
        <v>1</v>
      </c>
      <c r="X16" t="b">
        <f>AC16=O16</f>
        <v>1</v>
      </c>
      <c r="Y16">
        <f t="shared" si="8"/>
        <v>18</v>
      </c>
      <c r="Z16" s="8">
        <f>A16/4</f>
        <v>18.5</v>
      </c>
      <c r="AA16" s="8">
        <f t="shared" si="9"/>
        <v>19</v>
      </c>
      <c r="AB16" s="8">
        <f t="shared" si="0"/>
        <v>38</v>
      </c>
      <c r="AC16" s="8">
        <f t="shared" si="10"/>
        <v>18</v>
      </c>
      <c r="AD16" s="1">
        <f t="shared" si="11"/>
        <v>5.7</v>
      </c>
      <c r="AE16" s="1">
        <f t="shared" si="12"/>
        <v>15.200000000000001</v>
      </c>
      <c r="AF16" s="1">
        <f t="shared" si="13"/>
        <v>9</v>
      </c>
      <c r="AG16" s="1">
        <f t="shared" si="17"/>
        <v>-0.5</v>
      </c>
      <c r="AH16" s="1">
        <f t="shared" si="14"/>
        <v>29.400000000000002</v>
      </c>
      <c r="AI16" t="b">
        <f>AH16=T16</f>
        <v>1</v>
      </c>
    </row>
    <row r="17" spans="1:35" x14ac:dyDescent="0.25">
      <c r="A17" s="4">
        <f t="shared" si="18"/>
        <v>73</v>
      </c>
      <c r="B17" s="3" t="str">
        <f t="shared" si="19"/>
        <v>49</v>
      </c>
      <c r="C17" s="4" t="str">
        <f t="shared" si="20"/>
        <v>1001001</v>
      </c>
      <c r="D17" s="4" t="str">
        <f t="shared" si="21"/>
        <v>1001</v>
      </c>
      <c r="E17" s="4" t="str">
        <f t="shared" si="22"/>
        <v>1001</v>
      </c>
      <c r="F17" s="4"/>
      <c r="H17" s="4"/>
      <c r="I17" s="13">
        <f t="shared" si="23"/>
        <v>0.3</v>
      </c>
      <c r="J17" s="14">
        <f t="shared" si="1"/>
        <v>1</v>
      </c>
      <c r="K17" s="14">
        <f t="shared" si="2"/>
        <v>0</v>
      </c>
      <c r="L17" s="14">
        <f t="shared" si="3"/>
        <v>0</v>
      </c>
      <c r="M17" s="14">
        <f>SUM($J17:$J$90)</f>
        <v>19</v>
      </c>
      <c r="N17" s="14">
        <f>SUM($K17:$K$90)</f>
        <v>37</v>
      </c>
      <c r="O17" s="14">
        <f>SUM($L17:$L$90)</f>
        <v>18</v>
      </c>
      <c r="P17">
        <f t="shared" si="4"/>
        <v>5.7</v>
      </c>
      <c r="Q17">
        <f t="shared" si="5"/>
        <v>14.8</v>
      </c>
      <c r="R17">
        <f t="shared" si="6"/>
        <v>9</v>
      </c>
      <c r="S17">
        <f t="shared" si="15"/>
        <v>-0.5</v>
      </c>
      <c r="T17">
        <f t="shared" si="16"/>
        <v>29</v>
      </c>
      <c r="U17"/>
      <c r="V17" t="b">
        <f>AA17=M17</f>
        <v>1</v>
      </c>
      <c r="W17" t="b">
        <f>AB17=N17</f>
        <v>1</v>
      </c>
      <c r="X17" t="b">
        <f>AC17=O17</f>
        <v>1</v>
      </c>
      <c r="Y17">
        <f t="shared" si="8"/>
        <v>18</v>
      </c>
      <c r="Z17" s="8">
        <f>A17/4</f>
        <v>18.25</v>
      </c>
      <c r="AA17" s="8">
        <f t="shared" si="9"/>
        <v>19</v>
      </c>
      <c r="AB17" s="8">
        <f t="shared" si="0"/>
        <v>37</v>
      </c>
      <c r="AC17" s="8">
        <f t="shared" si="10"/>
        <v>18</v>
      </c>
      <c r="AD17" s="1">
        <f t="shared" si="11"/>
        <v>5.7</v>
      </c>
      <c r="AE17" s="1">
        <f t="shared" si="12"/>
        <v>14.8</v>
      </c>
      <c r="AF17" s="1">
        <f t="shared" si="13"/>
        <v>9</v>
      </c>
      <c r="AG17" s="1">
        <f t="shared" si="17"/>
        <v>-0.5</v>
      </c>
      <c r="AH17" s="1">
        <f t="shared" si="14"/>
        <v>29</v>
      </c>
      <c r="AI17" t="b">
        <f>AH17=T17</f>
        <v>1</v>
      </c>
    </row>
    <row r="18" spans="1:35" x14ac:dyDescent="0.25">
      <c r="A18" s="4">
        <f t="shared" si="18"/>
        <v>72</v>
      </c>
      <c r="B18" s="3" t="str">
        <f t="shared" si="19"/>
        <v>48</v>
      </c>
      <c r="C18" s="4" t="str">
        <f t="shared" si="20"/>
        <v>1001000</v>
      </c>
      <c r="D18" s="4" t="str">
        <f t="shared" si="21"/>
        <v>1001</v>
      </c>
      <c r="E18" s="4" t="str">
        <f t="shared" si="22"/>
        <v>1000</v>
      </c>
      <c r="F18" s="4"/>
      <c r="H18" s="4"/>
      <c r="I18" s="13">
        <f t="shared" si="23"/>
        <v>0.4</v>
      </c>
      <c r="J18" s="14">
        <f t="shared" si="1"/>
        <v>0</v>
      </c>
      <c r="K18" s="14">
        <f t="shared" si="2"/>
        <v>1</v>
      </c>
      <c r="L18" s="14">
        <f t="shared" si="3"/>
        <v>0</v>
      </c>
      <c r="M18" s="14">
        <f>SUM($J18:$J$90)</f>
        <v>18</v>
      </c>
      <c r="N18" s="14">
        <f>SUM($K18:$K$90)</f>
        <v>37</v>
      </c>
      <c r="O18" s="14">
        <f>SUM($L18:$L$90)</f>
        <v>18</v>
      </c>
      <c r="P18">
        <f t="shared" si="4"/>
        <v>5.3999999999999995</v>
      </c>
      <c r="Q18">
        <f t="shared" si="5"/>
        <v>14.8</v>
      </c>
      <c r="R18">
        <f t="shared" si="6"/>
        <v>9</v>
      </c>
      <c r="S18">
        <f t="shared" si="15"/>
        <v>-0.5</v>
      </c>
      <c r="T18">
        <f t="shared" si="16"/>
        <v>28.7</v>
      </c>
      <c r="U18"/>
      <c r="V18" t="b">
        <f>AA18=M18</f>
        <v>1</v>
      </c>
      <c r="W18" t="b">
        <f>AB18=N18</f>
        <v>1</v>
      </c>
      <c r="X18" t="b">
        <f>AC18=O18</f>
        <v>1</v>
      </c>
      <c r="Y18">
        <f t="shared" si="8"/>
        <v>18</v>
      </c>
      <c r="Z18" s="8">
        <f>A18/4</f>
        <v>18</v>
      </c>
      <c r="AA18" s="8">
        <f t="shared" si="9"/>
        <v>18</v>
      </c>
      <c r="AB18" s="8">
        <f t="shared" si="0"/>
        <v>37</v>
      </c>
      <c r="AC18" s="8">
        <f t="shared" si="10"/>
        <v>18</v>
      </c>
      <c r="AD18" s="1">
        <f t="shared" si="11"/>
        <v>5.3999999999999995</v>
      </c>
      <c r="AE18" s="1">
        <f t="shared" si="12"/>
        <v>14.8</v>
      </c>
      <c r="AF18" s="1">
        <f t="shared" si="13"/>
        <v>9</v>
      </c>
      <c r="AG18" s="1">
        <f t="shared" ref="AG18:AG81" si="24">AG17</f>
        <v>-0.5</v>
      </c>
      <c r="AH18" s="1">
        <f t="shared" ref="AH18:AH81" si="25">SUM(AD18:AG18)</f>
        <v>28.7</v>
      </c>
      <c r="AI18" t="b">
        <f>AH18=T18</f>
        <v>1</v>
      </c>
    </row>
    <row r="19" spans="1:35" x14ac:dyDescent="0.25">
      <c r="A19" s="4">
        <f t="shared" si="18"/>
        <v>71</v>
      </c>
      <c r="B19" s="3" t="str">
        <f t="shared" si="19"/>
        <v>47</v>
      </c>
      <c r="C19" s="4" t="str">
        <f t="shared" si="20"/>
        <v>1000111</v>
      </c>
      <c r="D19" s="4" t="str">
        <f t="shared" si="21"/>
        <v>1000</v>
      </c>
      <c r="E19" s="4" t="str">
        <f t="shared" si="22"/>
        <v>0111</v>
      </c>
      <c r="F19" s="4"/>
      <c r="H19" s="4"/>
      <c r="I19" s="13">
        <f t="shared" si="23"/>
        <v>0.5</v>
      </c>
      <c r="J19" s="14">
        <f t="shared" si="1"/>
        <v>0</v>
      </c>
      <c r="K19" s="14">
        <f t="shared" si="2"/>
        <v>0</v>
      </c>
      <c r="L19" s="14">
        <f t="shared" si="3"/>
        <v>1</v>
      </c>
      <c r="M19" s="14">
        <f>SUM($J19:$J$90)</f>
        <v>18</v>
      </c>
      <c r="N19" s="14">
        <f>SUM($K19:$K$90)</f>
        <v>36</v>
      </c>
      <c r="O19" s="14">
        <f>SUM($L19:$L$90)</f>
        <v>18</v>
      </c>
      <c r="P19">
        <f t="shared" si="4"/>
        <v>5.3999999999999995</v>
      </c>
      <c r="Q19">
        <f t="shared" si="5"/>
        <v>14.4</v>
      </c>
      <c r="R19">
        <f t="shared" si="6"/>
        <v>9</v>
      </c>
      <c r="S19">
        <f t="shared" si="15"/>
        <v>-0.5</v>
      </c>
      <c r="T19">
        <f t="shared" si="16"/>
        <v>28.3</v>
      </c>
      <c r="U19"/>
      <c r="V19" t="b">
        <f>AA19=M19</f>
        <v>1</v>
      </c>
      <c r="W19" t="b">
        <f>AB19=N19</f>
        <v>1</v>
      </c>
      <c r="X19" t="b">
        <f>AC19=O19</f>
        <v>1</v>
      </c>
      <c r="Y19">
        <f t="shared" si="8"/>
        <v>17</v>
      </c>
      <c r="Z19" s="8">
        <f>A19/4</f>
        <v>17.75</v>
      </c>
      <c r="AA19" s="8">
        <f t="shared" si="9"/>
        <v>18</v>
      </c>
      <c r="AB19" s="8">
        <f t="shared" si="0"/>
        <v>36</v>
      </c>
      <c r="AC19" s="8">
        <f t="shared" si="10"/>
        <v>18</v>
      </c>
      <c r="AD19" s="1">
        <f t="shared" si="11"/>
        <v>5.3999999999999995</v>
      </c>
      <c r="AE19" s="1">
        <f t="shared" si="12"/>
        <v>14.4</v>
      </c>
      <c r="AF19" s="1">
        <f t="shared" si="13"/>
        <v>9</v>
      </c>
      <c r="AG19" s="1">
        <f t="shared" si="24"/>
        <v>-0.5</v>
      </c>
      <c r="AH19" s="1">
        <f t="shared" si="25"/>
        <v>28.3</v>
      </c>
      <c r="AI19" t="b">
        <f>AH19=T19</f>
        <v>1</v>
      </c>
    </row>
    <row r="20" spans="1:35" x14ac:dyDescent="0.25">
      <c r="A20" s="4">
        <f t="shared" si="18"/>
        <v>70</v>
      </c>
      <c r="B20" s="3" t="str">
        <f t="shared" si="19"/>
        <v>46</v>
      </c>
      <c r="C20" s="4" t="str">
        <f t="shared" si="20"/>
        <v>1000110</v>
      </c>
      <c r="D20" s="4" t="str">
        <f t="shared" si="21"/>
        <v>1000</v>
      </c>
      <c r="E20" s="4" t="str">
        <f t="shared" si="22"/>
        <v>0110</v>
      </c>
      <c r="F20" s="4"/>
      <c r="H20" s="4"/>
      <c r="I20" s="13">
        <f t="shared" si="23"/>
        <v>0.4</v>
      </c>
      <c r="J20" s="14">
        <f t="shared" si="1"/>
        <v>0</v>
      </c>
      <c r="K20" s="14">
        <f t="shared" si="2"/>
        <v>1</v>
      </c>
      <c r="L20" s="14">
        <f t="shared" si="3"/>
        <v>0</v>
      </c>
      <c r="M20" s="14">
        <f>SUM($J20:$J$90)</f>
        <v>18</v>
      </c>
      <c r="N20" s="14">
        <f>SUM($K20:$K$90)</f>
        <v>36</v>
      </c>
      <c r="O20" s="14">
        <f>SUM($L20:$L$90)</f>
        <v>17</v>
      </c>
      <c r="P20">
        <f t="shared" si="4"/>
        <v>5.3999999999999995</v>
      </c>
      <c r="Q20">
        <f t="shared" si="5"/>
        <v>14.4</v>
      </c>
      <c r="R20">
        <f t="shared" si="6"/>
        <v>8.5</v>
      </c>
      <c r="S20">
        <f t="shared" si="15"/>
        <v>-0.5</v>
      </c>
      <c r="T20">
        <f t="shared" si="16"/>
        <v>27.8</v>
      </c>
      <c r="U20"/>
      <c r="V20" t="b">
        <f>AA20=M20</f>
        <v>1</v>
      </c>
      <c r="W20" t="b">
        <f>AB20=N20</f>
        <v>1</v>
      </c>
      <c r="X20" t="b">
        <f>AC20=O20</f>
        <v>1</v>
      </c>
      <c r="Y20">
        <f t="shared" si="8"/>
        <v>17</v>
      </c>
      <c r="Z20" s="8">
        <f>A20/4</f>
        <v>17.5</v>
      </c>
      <c r="AA20" s="8">
        <f t="shared" si="9"/>
        <v>18</v>
      </c>
      <c r="AB20" s="8">
        <f t="shared" si="0"/>
        <v>36</v>
      </c>
      <c r="AC20" s="8">
        <f t="shared" si="10"/>
        <v>17</v>
      </c>
      <c r="AD20" s="1">
        <f t="shared" si="11"/>
        <v>5.3999999999999995</v>
      </c>
      <c r="AE20" s="1">
        <f t="shared" si="12"/>
        <v>14.4</v>
      </c>
      <c r="AF20" s="1">
        <f t="shared" si="13"/>
        <v>8.5</v>
      </c>
      <c r="AG20" s="1">
        <f t="shared" si="24"/>
        <v>-0.5</v>
      </c>
      <c r="AH20" s="1">
        <f t="shared" si="25"/>
        <v>27.8</v>
      </c>
      <c r="AI20" t="b">
        <f>AH20=T20</f>
        <v>1</v>
      </c>
    </row>
    <row r="21" spans="1:35" x14ac:dyDescent="0.25">
      <c r="A21" s="4">
        <f t="shared" si="18"/>
        <v>69</v>
      </c>
      <c r="B21" s="3" t="str">
        <f t="shared" si="19"/>
        <v>45</v>
      </c>
      <c r="C21" s="4" t="str">
        <f t="shared" si="20"/>
        <v>1000101</v>
      </c>
      <c r="D21" s="4" t="str">
        <f t="shared" si="21"/>
        <v>1000</v>
      </c>
      <c r="E21" s="4" t="str">
        <f t="shared" si="22"/>
        <v>0101</v>
      </c>
      <c r="F21" s="4"/>
      <c r="H21" s="4"/>
      <c r="I21" s="13">
        <f t="shared" si="23"/>
        <v>0.3</v>
      </c>
      <c r="J21" s="14">
        <f t="shared" si="1"/>
        <v>1</v>
      </c>
      <c r="K21" s="14">
        <f t="shared" si="2"/>
        <v>0</v>
      </c>
      <c r="L21" s="14">
        <f t="shared" si="3"/>
        <v>0</v>
      </c>
      <c r="M21" s="14">
        <f>SUM($J21:$J$90)</f>
        <v>18</v>
      </c>
      <c r="N21" s="14">
        <f>SUM($K21:$K$90)</f>
        <v>35</v>
      </c>
      <c r="O21" s="14">
        <f>SUM($L21:$L$90)</f>
        <v>17</v>
      </c>
      <c r="P21">
        <f t="shared" si="4"/>
        <v>5.3999999999999995</v>
      </c>
      <c r="Q21">
        <f t="shared" si="5"/>
        <v>14</v>
      </c>
      <c r="R21">
        <f t="shared" si="6"/>
        <v>8.5</v>
      </c>
      <c r="S21">
        <f t="shared" si="15"/>
        <v>-0.5</v>
      </c>
      <c r="T21">
        <f t="shared" si="16"/>
        <v>27.4</v>
      </c>
      <c r="U21"/>
      <c r="V21" t="b">
        <f>AA21=M21</f>
        <v>1</v>
      </c>
      <c r="W21" t="b">
        <f>AB21=N21</f>
        <v>1</v>
      </c>
      <c r="X21" t="b">
        <f>AC21=O21</f>
        <v>1</v>
      </c>
      <c r="Y21">
        <f t="shared" si="8"/>
        <v>17</v>
      </c>
      <c r="Z21" s="8">
        <f>A21/4</f>
        <v>17.25</v>
      </c>
      <c r="AA21" s="8">
        <f t="shared" si="9"/>
        <v>18</v>
      </c>
      <c r="AB21" s="8">
        <f t="shared" si="0"/>
        <v>35</v>
      </c>
      <c r="AC21" s="8">
        <f t="shared" si="10"/>
        <v>17</v>
      </c>
      <c r="AD21" s="1">
        <f t="shared" si="11"/>
        <v>5.3999999999999995</v>
      </c>
      <c r="AE21" s="1">
        <f t="shared" si="12"/>
        <v>14</v>
      </c>
      <c r="AF21" s="1">
        <f t="shared" si="13"/>
        <v>8.5</v>
      </c>
      <c r="AG21" s="1">
        <f t="shared" si="24"/>
        <v>-0.5</v>
      </c>
      <c r="AH21" s="1">
        <f t="shared" si="25"/>
        <v>27.4</v>
      </c>
      <c r="AI21" t="b">
        <f>AH21=T21</f>
        <v>1</v>
      </c>
    </row>
    <row r="22" spans="1:35" x14ac:dyDescent="0.25">
      <c r="A22" s="4">
        <f t="shared" si="18"/>
        <v>68</v>
      </c>
      <c r="B22" s="3" t="str">
        <f t="shared" si="19"/>
        <v>44</v>
      </c>
      <c r="C22" s="4" t="str">
        <f t="shared" si="20"/>
        <v>1000100</v>
      </c>
      <c r="D22" s="4" t="str">
        <f t="shared" si="21"/>
        <v>1000</v>
      </c>
      <c r="E22" s="4" t="str">
        <f t="shared" si="22"/>
        <v>0100</v>
      </c>
      <c r="F22" s="4"/>
      <c r="H22" s="4"/>
      <c r="I22" s="13">
        <f t="shared" si="23"/>
        <v>0.4</v>
      </c>
      <c r="J22" s="14">
        <f t="shared" si="1"/>
        <v>0</v>
      </c>
      <c r="K22" s="14">
        <f t="shared" si="2"/>
        <v>1</v>
      </c>
      <c r="L22" s="14">
        <f t="shared" si="3"/>
        <v>0</v>
      </c>
      <c r="M22" s="14">
        <f>SUM($J22:$J$90)</f>
        <v>17</v>
      </c>
      <c r="N22" s="14">
        <f>SUM($K22:$K$90)</f>
        <v>35</v>
      </c>
      <c r="O22" s="14">
        <f>SUM($L22:$L$90)</f>
        <v>17</v>
      </c>
      <c r="P22">
        <f t="shared" si="4"/>
        <v>5.0999999999999996</v>
      </c>
      <c r="Q22">
        <f t="shared" si="5"/>
        <v>14</v>
      </c>
      <c r="R22">
        <f t="shared" si="6"/>
        <v>8.5</v>
      </c>
      <c r="S22">
        <f t="shared" si="15"/>
        <v>-0.5</v>
      </c>
      <c r="T22">
        <f t="shared" si="16"/>
        <v>27.1</v>
      </c>
      <c r="U22"/>
      <c r="V22" t="b">
        <f>AA22=M22</f>
        <v>1</v>
      </c>
      <c r="W22" t="b">
        <f>AB22=N22</f>
        <v>1</v>
      </c>
      <c r="X22" t="b">
        <f>AC22=O22</f>
        <v>1</v>
      </c>
      <c r="Y22">
        <f t="shared" si="8"/>
        <v>17</v>
      </c>
      <c r="Z22" s="8">
        <f>A22/4</f>
        <v>17</v>
      </c>
      <c r="AA22" s="8">
        <f t="shared" si="9"/>
        <v>17</v>
      </c>
      <c r="AB22" s="8">
        <f t="shared" si="0"/>
        <v>35</v>
      </c>
      <c r="AC22" s="8">
        <f t="shared" si="10"/>
        <v>17</v>
      </c>
      <c r="AD22" s="1">
        <f t="shared" si="11"/>
        <v>5.0999999999999996</v>
      </c>
      <c r="AE22" s="1">
        <f t="shared" si="12"/>
        <v>14</v>
      </c>
      <c r="AF22" s="1">
        <f t="shared" si="13"/>
        <v>8.5</v>
      </c>
      <c r="AG22" s="1">
        <f t="shared" si="24"/>
        <v>-0.5</v>
      </c>
      <c r="AH22" s="1">
        <f t="shared" si="25"/>
        <v>27.1</v>
      </c>
      <c r="AI22" t="b">
        <f>AH22=T22</f>
        <v>1</v>
      </c>
    </row>
    <row r="23" spans="1:35" x14ac:dyDescent="0.25">
      <c r="A23" s="4">
        <f t="shared" si="18"/>
        <v>67</v>
      </c>
      <c r="B23" s="3" t="str">
        <f t="shared" si="19"/>
        <v>43</v>
      </c>
      <c r="C23" s="4" t="str">
        <f t="shared" si="20"/>
        <v>1000011</v>
      </c>
      <c r="D23" s="4" t="str">
        <f t="shared" si="21"/>
        <v>1000</v>
      </c>
      <c r="E23" s="4" t="str">
        <f t="shared" si="22"/>
        <v>0011</v>
      </c>
      <c r="F23" s="4"/>
      <c r="H23" s="4"/>
      <c r="I23" s="13">
        <f t="shared" si="23"/>
        <v>0.5</v>
      </c>
      <c r="J23" s="14">
        <f t="shared" si="1"/>
        <v>0</v>
      </c>
      <c r="K23" s="14">
        <f t="shared" si="2"/>
        <v>0</v>
      </c>
      <c r="L23" s="14">
        <f t="shared" si="3"/>
        <v>1</v>
      </c>
      <c r="M23" s="14">
        <f>SUM($J23:$J$90)</f>
        <v>17</v>
      </c>
      <c r="N23" s="14">
        <f>SUM($K23:$K$90)</f>
        <v>34</v>
      </c>
      <c r="O23" s="14">
        <f>SUM($L23:$L$90)</f>
        <v>17</v>
      </c>
      <c r="P23">
        <f t="shared" si="4"/>
        <v>5.0999999999999996</v>
      </c>
      <c r="Q23">
        <f t="shared" si="5"/>
        <v>13.600000000000001</v>
      </c>
      <c r="R23">
        <f t="shared" si="6"/>
        <v>8.5</v>
      </c>
      <c r="S23">
        <f t="shared" si="15"/>
        <v>-0.5</v>
      </c>
      <c r="T23">
        <f t="shared" si="16"/>
        <v>26.700000000000003</v>
      </c>
      <c r="U23"/>
      <c r="V23" t="b">
        <f>AA23=M23</f>
        <v>1</v>
      </c>
      <c r="W23" t="b">
        <f>AB23=N23</f>
        <v>1</v>
      </c>
      <c r="X23" t="b">
        <f>AC23=O23</f>
        <v>1</v>
      </c>
      <c r="Y23">
        <f t="shared" si="8"/>
        <v>16</v>
      </c>
      <c r="Z23" s="8">
        <f>A23/4</f>
        <v>16.75</v>
      </c>
      <c r="AA23" s="8">
        <f t="shared" si="9"/>
        <v>17</v>
      </c>
      <c r="AB23" s="8">
        <f t="shared" si="0"/>
        <v>34</v>
      </c>
      <c r="AC23" s="8">
        <f t="shared" si="10"/>
        <v>17</v>
      </c>
      <c r="AD23" s="1">
        <f t="shared" si="11"/>
        <v>5.0999999999999996</v>
      </c>
      <c r="AE23" s="1">
        <f t="shared" si="12"/>
        <v>13.600000000000001</v>
      </c>
      <c r="AF23" s="1">
        <f t="shared" si="13"/>
        <v>8.5</v>
      </c>
      <c r="AG23" s="1">
        <f t="shared" si="24"/>
        <v>-0.5</v>
      </c>
      <c r="AH23" s="1">
        <f t="shared" si="25"/>
        <v>26.700000000000003</v>
      </c>
      <c r="AI23" t="b">
        <f>AH23=T23</f>
        <v>1</v>
      </c>
    </row>
    <row r="24" spans="1:35" x14ac:dyDescent="0.25">
      <c r="A24" s="4">
        <f t="shared" si="18"/>
        <v>66</v>
      </c>
      <c r="B24" s="3" t="str">
        <f t="shared" si="19"/>
        <v>42</v>
      </c>
      <c r="C24" s="4" t="str">
        <f t="shared" si="20"/>
        <v>1000010</v>
      </c>
      <c r="D24" s="4" t="str">
        <f t="shared" si="21"/>
        <v>1000</v>
      </c>
      <c r="E24" s="4" t="str">
        <f t="shared" si="22"/>
        <v>0010</v>
      </c>
      <c r="F24" s="4"/>
      <c r="H24" s="4"/>
      <c r="I24" s="13">
        <f t="shared" si="23"/>
        <v>0.4</v>
      </c>
      <c r="J24" s="14">
        <f t="shared" si="1"/>
        <v>0</v>
      </c>
      <c r="K24" s="14">
        <f t="shared" si="2"/>
        <v>1</v>
      </c>
      <c r="L24" s="14">
        <f t="shared" si="3"/>
        <v>0</v>
      </c>
      <c r="M24" s="14">
        <f>SUM($J24:$J$90)</f>
        <v>17</v>
      </c>
      <c r="N24" s="14">
        <f>SUM($K24:$K$90)</f>
        <v>34</v>
      </c>
      <c r="O24" s="14">
        <f>SUM($L24:$L$90)</f>
        <v>16</v>
      </c>
      <c r="P24">
        <f t="shared" si="4"/>
        <v>5.0999999999999996</v>
      </c>
      <c r="Q24">
        <f t="shared" si="5"/>
        <v>13.600000000000001</v>
      </c>
      <c r="R24">
        <f t="shared" si="6"/>
        <v>8</v>
      </c>
      <c r="S24">
        <f t="shared" si="15"/>
        <v>-0.5</v>
      </c>
      <c r="T24">
        <f t="shared" si="16"/>
        <v>26.200000000000003</v>
      </c>
      <c r="U24"/>
      <c r="V24" t="b">
        <f>AA24=M24</f>
        <v>1</v>
      </c>
      <c r="W24" t="b">
        <f>AB24=N24</f>
        <v>1</v>
      </c>
      <c r="X24" t="b">
        <f>AC24=O24</f>
        <v>1</v>
      </c>
      <c r="Y24">
        <f t="shared" si="8"/>
        <v>16</v>
      </c>
      <c r="Z24" s="8">
        <f>A24/4</f>
        <v>16.5</v>
      </c>
      <c r="AA24" s="8">
        <f t="shared" si="9"/>
        <v>17</v>
      </c>
      <c r="AB24" s="8">
        <f t="shared" si="0"/>
        <v>34</v>
      </c>
      <c r="AC24" s="8">
        <f t="shared" si="10"/>
        <v>16</v>
      </c>
      <c r="AD24" s="1">
        <f t="shared" si="11"/>
        <v>5.0999999999999996</v>
      </c>
      <c r="AE24" s="1">
        <f t="shared" si="12"/>
        <v>13.600000000000001</v>
      </c>
      <c r="AF24" s="1">
        <f t="shared" si="13"/>
        <v>8</v>
      </c>
      <c r="AG24" s="1">
        <f t="shared" si="24"/>
        <v>-0.5</v>
      </c>
      <c r="AH24" s="1">
        <f t="shared" si="25"/>
        <v>26.200000000000003</v>
      </c>
      <c r="AI24" t="b">
        <f>AH24=T24</f>
        <v>1</v>
      </c>
    </row>
    <row r="25" spans="1:35" x14ac:dyDescent="0.25">
      <c r="A25" s="4">
        <f t="shared" si="18"/>
        <v>65</v>
      </c>
      <c r="B25" s="3" t="str">
        <f t="shared" si="19"/>
        <v>41</v>
      </c>
      <c r="C25" s="4" t="str">
        <f t="shared" si="20"/>
        <v>1000001</v>
      </c>
      <c r="D25" s="4" t="str">
        <f t="shared" si="21"/>
        <v>1000</v>
      </c>
      <c r="E25" s="4" t="str">
        <f t="shared" si="22"/>
        <v>0001</v>
      </c>
      <c r="F25" s="4"/>
      <c r="H25" s="4"/>
      <c r="I25" s="13">
        <f t="shared" si="23"/>
        <v>0.3</v>
      </c>
      <c r="J25" s="14">
        <f t="shared" si="1"/>
        <v>1</v>
      </c>
      <c r="K25" s="14">
        <f t="shared" si="2"/>
        <v>0</v>
      </c>
      <c r="L25" s="14">
        <f t="shared" si="3"/>
        <v>0</v>
      </c>
      <c r="M25" s="14">
        <f>SUM($J25:$J$90)</f>
        <v>17</v>
      </c>
      <c r="N25" s="14">
        <f>SUM($K25:$K$90)</f>
        <v>33</v>
      </c>
      <c r="O25" s="14">
        <f>SUM($L25:$L$90)</f>
        <v>16</v>
      </c>
      <c r="P25">
        <f t="shared" si="4"/>
        <v>5.0999999999999996</v>
      </c>
      <c r="Q25">
        <f t="shared" si="5"/>
        <v>13.200000000000001</v>
      </c>
      <c r="R25">
        <f t="shared" si="6"/>
        <v>8</v>
      </c>
      <c r="S25">
        <f t="shared" si="15"/>
        <v>-0.5</v>
      </c>
      <c r="T25">
        <f t="shared" si="16"/>
        <v>25.8</v>
      </c>
      <c r="U25"/>
      <c r="V25" t="b">
        <f>AA25=M25</f>
        <v>1</v>
      </c>
      <c r="W25" t="b">
        <f>AB25=N25</f>
        <v>1</v>
      </c>
      <c r="X25" t="b">
        <f>AC25=O25</f>
        <v>1</v>
      </c>
      <c r="Y25">
        <f t="shared" si="8"/>
        <v>16</v>
      </c>
      <c r="Z25" s="8">
        <f>A25/4</f>
        <v>16.25</v>
      </c>
      <c r="AA25" s="8">
        <f t="shared" si="9"/>
        <v>17</v>
      </c>
      <c r="AB25" s="8">
        <f t="shared" si="0"/>
        <v>33</v>
      </c>
      <c r="AC25" s="8">
        <f t="shared" si="10"/>
        <v>16</v>
      </c>
      <c r="AD25" s="1">
        <f t="shared" si="11"/>
        <v>5.0999999999999996</v>
      </c>
      <c r="AE25" s="1">
        <f t="shared" si="12"/>
        <v>13.200000000000001</v>
      </c>
      <c r="AF25" s="1">
        <f t="shared" si="13"/>
        <v>8</v>
      </c>
      <c r="AG25" s="1">
        <f t="shared" si="24"/>
        <v>-0.5</v>
      </c>
      <c r="AH25" s="1">
        <f t="shared" si="25"/>
        <v>25.8</v>
      </c>
      <c r="AI25" t="b">
        <f>AH25=T25</f>
        <v>1</v>
      </c>
    </row>
    <row r="26" spans="1:35" x14ac:dyDescent="0.25">
      <c r="A26" s="4">
        <f t="shared" si="18"/>
        <v>64</v>
      </c>
      <c r="B26" s="3" t="str">
        <f t="shared" si="19"/>
        <v>40</v>
      </c>
      <c r="C26" s="4" t="str">
        <f t="shared" si="20"/>
        <v>1000000</v>
      </c>
      <c r="D26" s="4" t="str">
        <f t="shared" si="21"/>
        <v>1000</v>
      </c>
      <c r="E26" s="4" t="str">
        <f t="shared" si="22"/>
        <v>0000</v>
      </c>
      <c r="F26" s="4"/>
      <c r="H26" s="4"/>
      <c r="I26" s="13">
        <f t="shared" si="23"/>
        <v>0.4</v>
      </c>
      <c r="J26" s="14">
        <f t="shared" si="1"/>
        <v>0</v>
      </c>
      <c r="K26" s="14">
        <f t="shared" si="2"/>
        <v>1</v>
      </c>
      <c r="L26" s="14">
        <f t="shared" si="3"/>
        <v>0</v>
      </c>
      <c r="M26" s="14">
        <f>SUM($J26:$J$90)</f>
        <v>16</v>
      </c>
      <c r="N26" s="14">
        <f>SUM($K26:$K$90)</f>
        <v>33</v>
      </c>
      <c r="O26" s="14">
        <f>SUM($L26:$L$90)</f>
        <v>16</v>
      </c>
      <c r="P26">
        <f t="shared" si="4"/>
        <v>4.8</v>
      </c>
      <c r="Q26">
        <f t="shared" si="5"/>
        <v>13.200000000000001</v>
      </c>
      <c r="R26">
        <f t="shared" si="6"/>
        <v>8</v>
      </c>
      <c r="S26">
        <f t="shared" si="15"/>
        <v>-0.5</v>
      </c>
      <c r="T26">
        <f t="shared" si="16"/>
        <v>25.5</v>
      </c>
      <c r="U26"/>
      <c r="V26" t="b">
        <f>AA26=M26</f>
        <v>1</v>
      </c>
      <c r="W26" t="b">
        <f>AB26=N26</f>
        <v>1</v>
      </c>
      <c r="X26" t="b">
        <f>AC26=O26</f>
        <v>1</v>
      </c>
      <c r="Y26">
        <f t="shared" si="8"/>
        <v>16</v>
      </c>
      <c r="Z26" s="8">
        <f>A26/4</f>
        <v>16</v>
      </c>
      <c r="AA26" s="8">
        <f t="shared" si="9"/>
        <v>16</v>
      </c>
      <c r="AB26" s="8">
        <f t="shared" si="0"/>
        <v>33</v>
      </c>
      <c r="AC26" s="8">
        <f t="shared" si="10"/>
        <v>16</v>
      </c>
      <c r="AD26" s="1">
        <f t="shared" si="11"/>
        <v>4.8</v>
      </c>
      <c r="AE26" s="1">
        <f t="shared" si="12"/>
        <v>13.200000000000001</v>
      </c>
      <c r="AF26" s="1">
        <f t="shared" si="13"/>
        <v>8</v>
      </c>
      <c r="AG26" s="1">
        <f t="shared" si="24"/>
        <v>-0.5</v>
      </c>
      <c r="AH26" s="1">
        <f t="shared" si="25"/>
        <v>25.5</v>
      </c>
      <c r="AI26" t="b">
        <f>AH26=T26</f>
        <v>1</v>
      </c>
    </row>
    <row r="27" spans="1:35" x14ac:dyDescent="0.25">
      <c r="A27" s="4">
        <f t="shared" si="18"/>
        <v>63</v>
      </c>
      <c r="B27" s="3" t="str">
        <f t="shared" si="19"/>
        <v>3F</v>
      </c>
      <c r="C27" s="4" t="str">
        <f t="shared" si="20"/>
        <v>111111</v>
      </c>
      <c r="D27" s="4" t="str">
        <f t="shared" si="21"/>
        <v>1111</v>
      </c>
      <c r="E27" s="4" t="str">
        <f t="shared" si="22"/>
        <v>1111</v>
      </c>
      <c r="F27" s="4"/>
      <c r="H27" s="4"/>
      <c r="I27" s="13">
        <f t="shared" si="23"/>
        <v>0.5</v>
      </c>
      <c r="J27" s="14">
        <f t="shared" si="1"/>
        <v>0</v>
      </c>
      <c r="K27" s="14">
        <f t="shared" si="2"/>
        <v>0</v>
      </c>
      <c r="L27" s="14">
        <f t="shared" si="3"/>
        <v>1</v>
      </c>
      <c r="M27" s="14">
        <f>SUM($J27:$J$90)</f>
        <v>16</v>
      </c>
      <c r="N27" s="14">
        <f>SUM($K27:$K$90)</f>
        <v>32</v>
      </c>
      <c r="O27" s="14">
        <f>SUM($L27:$L$90)</f>
        <v>16</v>
      </c>
      <c r="P27">
        <f t="shared" si="4"/>
        <v>4.8</v>
      </c>
      <c r="Q27">
        <f t="shared" si="5"/>
        <v>12.8</v>
      </c>
      <c r="R27">
        <f t="shared" si="6"/>
        <v>8</v>
      </c>
      <c r="S27">
        <f t="shared" si="15"/>
        <v>-0.5</v>
      </c>
      <c r="T27">
        <f t="shared" si="16"/>
        <v>25.1</v>
      </c>
      <c r="U27"/>
      <c r="V27" t="b">
        <f>AA27=M27</f>
        <v>1</v>
      </c>
      <c r="W27" t="b">
        <f>AB27=N27</f>
        <v>1</v>
      </c>
      <c r="X27" t="b">
        <f>AC27=O27</f>
        <v>1</v>
      </c>
      <c r="Y27">
        <f t="shared" si="8"/>
        <v>15</v>
      </c>
      <c r="Z27" s="8">
        <f>A27/4</f>
        <v>15.75</v>
      </c>
      <c r="AA27" s="8">
        <f t="shared" si="9"/>
        <v>16</v>
      </c>
      <c r="AB27" s="8">
        <f t="shared" si="0"/>
        <v>32</v>
      </c>
      <c r="AC27" s="8">
        <f t="shared" si="10"/>
        <v>16</v>
      </c>
      <c r="AD27" s="1">
        <f t="shared" si="11"/>
        <v>4.8</v>
      </c>
      <c r="AE27" s="1">
        <f t="shared" si="12"/>
        <v>12.8</v>
      </c>
      <c r="AF27" s="1">
        <f t="shared" si="13"/>
        <v>8</v>
      </c>
      <c r="AG27" s="1">
        <f t="shared" si="24"/>
        <v>-0.5</v>
      </c>
      <c r="AH27" s="1">
        <f t="shared" si="25"/>
        <v>25.1</v>
      </c>
      <c r="AI27" t="b">
        <f>AH27=T27</f>
        <v>1</v>
      </c>
    </row>
    <row r="28" spans="1:35" x14ac:dyDescent="0.25">
      <c r="A28" s="4">
        <f t="shared" si="18"/>
        <v>62</v>
      </c>
      <c r="B28" s="3" t="str">
        <f t="shared" si="19"/>
        <v>3E</v>
      </c>
      <c r="C28" s="4" t="str">
        <f t="shared" si="20"/>
        <v>111110</v>
      </c>
      <c r="D28" s="4" t="str">
        <f t="shared" si="21"/>
        <v>1111</v>
      </c>
      <c r="E28" s="4" t="str">
        <f t="shared" si="22"/>
        <v>1110</v>
      </c>
      <c r="F28" s="4"/>
      <c r="H28" s="4"/>
      <c r="I28" s="13">
        <f t="shared" si="23"/>
        <v>0.4</v>
      </c>
      <c r="J28" s="14">
        <f t="shared" si="1"/>
        <v>0</v>
      </c>
      <c r="K28" s="14">
        <f t="shared" si="2"/>
        <v>1</v>
      </c>
      <c r="L28" s="14">
        <f t="shared" si="3"/>
        <v>0</v>
      </c>
      <c r="M28" s="14">
        <f>SUM($J28:$J$90)</f>
        <v>16</v>
      </c>
      <c r="N28" s="14">
        <f>SUM($K28:$K$90)</f>
        <v>32</v>
      </c>
      <c r="O28" s="14">
        <f>SUM($L28:$L$90)</f>
        <v>15</v>
      </c>
      <c r="P28">
        <f t="shared" si="4"/>
        <v>4.8</v>
      </c>
      <c r="Q28">
        <f t="shared" si="5"/>
        <v>12.8</v>
      </c>
      <c r="R28">
        <f t="shared" si="6"/>
        <v>7.5</v>
      </c>
      <c r="S28">
        <f t="shared" si="15"/>
        <v>-0.5</v>
      </c>
      <c r="T28">
        <f t="shared" si="16"/>
        <v>24.6</v>
      </c>
      <c r="U28"/>
      <c r="V28" t="b">
        <f>AA28=M28</f>
        <v>1</v>
      </c>
      <c r="W28" t="b">
        <f>AB28=N28</f>
        <v>1</v>
      </c>
      <c r="X28" t="b">
        <f>AC28=O28</f>
        <v>1</v>
      </c>
      <c r="Y28">
        <f t="shared" si="8"/>
        <v>15</v>
      </c>
      <c r="Z28" s="8">
        <f>A28/4</f>
        <v>15.5</v>
      </c>
      <c r="AA28" s="8">
        <f t="shared" si="9"/>
        <v>16</v>
      </c>
      <c r="AB28" s="8">
        <f t="shared" si="0"/>
        <v>32</v>
      </c>
      <c r="AC28" s="8">
        <f t="shared" si="10"/>
        <v>15</v>
      </c>
      <c r="AD28" s="1">
        <f t="shared" si="11"/>
        <v>4.8</v>
      </c>
      <c r="AE28" s="1">
        <f t="shared" si="12"/>
        <v>12.8</v>
      </c>
      <c r="AF28" s="1">
        <f t="shared" si="13"/>
        <v>7.5</v>
      </c>
      <c r="AG28" s="1">
        <f t="shared" si="24"/>
        <v>-0.5</v>
      </c>
      <c r="AH28" s="1">
        <f t="shared" si="25"/>
        <v>24.6</v>
      </c>
      <c r="AI28" t="b">
        <f>AH28=T28</f>
        <v>1</v>
      </c>
    </row>
    <row r="29" spans="1:35" x14ac:dyDescent="0.25">
      <c r="A29" s="4">
        <f t="shared" si="18"/>
        <v>61</v>
      </c>
      <c r="B29" s="3" t="str">
        <f t="shared" si="19"/>
        <v>3D</v>
      </c>
      <c r="C29" s="4" t="str">
        <f t="shared" si="20"/>
        <v>111101</v>
      </c>
      <c r="D29" s="4" t="str">
        <f t="shared" si="21"/>
        <v>1111</v>
      </c>
      <c r="E29" s="4" t="str">
        <f t="shared" si="22"/>
        <v>1101</v>
      </c>
      <c r="F29" s="4"/>
      <c r="H29" s="4"/>
      <c r="I29" s="13">
        <f t="shared" si="23"/>
        <v>0.3</v>
      </c>
      <c r="J29" s="14">
        <f t="shared" si="1"/>
        <v>1</v>
      </c>
      <c r="K29" s="14">
        <f t="shared" si="2"/>
        <v>0</v>
      </c>
      <c r="L29" s="14">
        <f t="shared" si="3"/>
        <v>0</v>
      </c>
      <c r="M29" s="14">
        <f>SUM($J29:$J$90)</f>
        <v>16</v>
      </c>
      <c r="N29" s="14">
        <f>SUM($K29:$K$90)</f>
        <v>31</v>
      </c>
      <c r="O29" s="14">
        <f>SUM($L29:$L$90)</f>
        <v>15</v>
      </c>
      <c r="P29">
        <f t="shared" si="4"/>
        <v>4.8</v>
      </c>
      <c r="Q29">
        <f t="shared" si="5"/>
        <v>12.4</v>
      </c>
      <c r="R29">
        <f t="shared" si="6"/>
        <v>7.5</v>
      </c>
      <c r="S29">
        <f t="shared" si="15"/>
        <v>-0.5</v>
      </c>
      <c r="T29">
        <f t="shared" si="16"/>
        <v>24.2</v>
      </c>
      <c r="U29"/>
      <c r="V29" t="b">
        <f>AA29=M29</f>
        <v>1</v>
      </c>
      <c r="W29" t="b">
        <f>AB29=N29</f>
        <v>1</v>
      </c>
      <c r="X29" t="b">
        <f>AC29=O29</f>
        <v>1</v>
      </c>
      <c r="Y29">
        <f t="shared" si="8"/>
        <v>15</v>
      </c>
      <c r="Z29" s="8">
        <f>A29/4</f>
        <v>15.25</v>
      </c>
      <c r="AA29" s="8">
        <f t="shared" si="9"/>
        <v>16</v>
      </c>
      <c r="AB29" s="8">
        <f t="shared" si="0"/>
        <v>31</v>
      </c>
      <c r="AC29" s="8">
        <f t="shared" si="10"/>
        <v>15</v>
      </c>
      <c r="AD29" s="1">
        <f t="shared" si="11"/>
        <v>4.8</v>
      </c>
      <c r="AE29" s="1">
        <f t="shared" si="12"/>
        <v>12.4</v>
      </c>
      <c r="AF29" s="1">
        <f t="shared" si="13"/>
        <v>7.5</v>
      </c>
      <c r="AG29" s="1">
        <f t="shared" si="24"/>
        <v>-0.5</v>
      </c>
      <c r="AH29" s="1">
        <f t="shared" si="25"/>
        <v>24.2</v>
      </c>
      <c r="AI29" t="b">
        <f>AH29=T29</f>
        <v>1</v>
      </c>
    </row>
    <row r="30" spans="1:35" x14ac:dyDescent="0.25">
      <c r="A30" s="4">
        <f t="shared" si="18"/>
        <v>60</v>
      </c>
      <c r="B30" s="3" t="str">
        <f t="shared" si="19"/>
        <v>3C</v>
      </c>
      <c r="C30" s="4" t="str">
        <f t="shared" si="20"/>
        <v>111100</v>
      </c>
      <c r="D30" s="4" t="str">
        <f t="shared" si="21"/>
        <v>1111</v>
      </c>
      <c r="E30" s="4" t="str">
        <f t="shared" si="22"/>
        <v>1100</v>
      </c>
      <c r="F30" s="4"/>
      <c r="H30" s="4"/>
      <c r="I30" s="13">
        <f t="shared" si="23"/>
        <v>0.4</v>
      </c>
      <c r="J30" s="14">
        <f t="shared" si="1"/>
        <v>0</v>
      </c>
      <c r="K30" s="14">
        <f t="shared" si="2"/>
        <v>1</v>
      </c>
      <c r="L30" s="14">
        <f t="shared" si="3"/>
        <v>0</v>
      </c>
      <c r="M30" s="14">
        <f>SUM($J30:$J$90)</f>
        <v>15</v>
      </c>
      <c r="N30" s="14">
        <f>SUM($K30:$K$90)</f>
        <v>31</v>
      </c>
      <c r="O30" s="14">
        <f>SUM($L30:$L$90)</f>
        <v>15</v>
      </c>
      <c r="P30">
        <f t="shared" si="4"/>
        <v>4.5</v>
      </c>
      <c r="Q30">
        <f t="shared" si="5"/>
        <v>12.4</v>
      </c>
      <c r="R30">
        <f t="shared" si="6"/>
        <v>7.5</v>
      </c>
      <c r="S30">
        <f t="shared" si="15"/>
        <v>-0.5</v>
      </c>
      <c r="T30">
        <f t="shared" si="16"/>
        <v>23.9</v>
      </c>
      <c r="U30"/>
      <c r="V30" t="b">
        <f>AA30=M30</f>
        <v>1</v>
      </c>
      <c r="W30" t="b">
        <f>AB30=N30</f>
        <v>1</v>
      </c>
      <c r="X30" t="b">
        <f>AC30=O30</f>
        <v>1</v>
      </c>
      <c r="Y30">
        <f t="shared" si="8"/>
        <v>15</v>
      </c>
      <c r="Z30" s="8">
        <f>A30/4</f>
        <v>15</v>
      </c>
      <c r="AA30" s="8">
        <f t="shared" si="9"/>
        <v>15</v>
      </c>
      <c r="AB30" s="8">
        <f t="shared" si="0"/>
        <v>31</v>
      </c>
      <c r="AC30" s="8">
        <f t="shared" si="10"/>
        <v>15</v>
      </c>
      <c r="AD30" s="1">
        <f t="shared" si="11"/>
        <v>4.5</v>
      </c>
      <c r="AE30" s="1">
        <f t="shared" si="12"/>
        <v>12.4</v>
      </c>
      <c r="AF30" s="1">
        <f t="shared" si="13"/>
        <v>7.5</v>
      </c>
      <c r="AG30" s="1">
        <f t="shared" si="24"/>
        <v>-0.5</v>
      </c>
      <c r="AH30" s="1">
        <f t="shared" si="25"/>
        <v>23.9</v>
      </c>
      <c r="AI30" t="b">
        <f>AH30=T30</f>
        <v>1</v>
      </c>
    </row>
    <row r="31" spans="1:35" x14ac:dyDescent="0.25">
      <c r="A31" s="4">
        <f t="shared" si="18"/>
        <v>59</v>
      </c>
      <c r="B31" s="3" t="str">
        <f t="shared" si="19"/>
        <v>3B</v>
      </c>
      <c r="C31" s="4" t="str">
        <f t="shared" si="20"/>
        <v>111011</v>
      </c>
      <c r="D31" s="4" t="str">
        <f t="shared" si="21"/>
        <v>1110</v>
      </c>
      <c r="E31" s="4" t="str">
        <f t="shared" si="22"/>
        <v>1011</v>
      </c>
      <c r="F31" s="4"/>
      <c r="H31" s="4"/>
      <c r="I31" s="13">
        <f t="shared" si="23"/>
        <v>0.5</v>
      </c>
      <c r="J31" s="14">
        <f t="shared" si="1"/>
        <v>0</v>
      </c>
      <c r="K31" s="14">
        <f t="shared" si="2"/>
        <v>0</v>
      </c>
      <c r="L31" s="14">
        <f t="shared" si="3"/>
        <v>1</v>
      </c>
      <c r="M31" s="14">
        <f>SUM($J31:$J$90)</f>
        <v>15</v>
      </c>
      <c r="N31" s="14">
        <f>SUM($K31:$K$90)</f>
        <v>30</v>
      </c>
      <c r="O31" s="14">
        <f>SUM($L31:$L$90)</f>
        <v>15</v>
      </c>
      <c r="P31">
        <f t="shared" si="4"/>
        <v>4.5</v>
      </c>
      <c r="Q31">
        <f t="shared" si="5"/>
        <v>12</v>
      </c>
      <c r="R31">
        <f t="shared" si="6"/>
        <v>7.5</v>
      </c>
      <c r="S31">
        <f t="shared" si="15"/>
        <v>-0.5</v>
      </c>
      <c r="T31">
        <f t="shared" si="16"/>
        <v>23.5</v>
      </c>
      <c r="U31"/>
      <c r="V31" t="b">
        <f>AA31=M31</f>
        <v>1</v>
      </c>
      <c r="W31" t="b">
        <f>AB31=N31</f>
        <v>1</v>
      </c>
      <c r="X31" t="b">
        <f>AC31=O31</f>
        <v>1</v>
      </c>
      <c r="Y31">
        <f t="shared" si="8"/>
        <v>14</v>
      </c>
      <c r="Z31" s="8">
        <f>A31/4</f>
        <v>14.75</v>
      </c>
      <c r="AA31" s="8">
        <f t="shared" si="9"/>
        <v>15</v>
      </c>
      <c r="AB31" s="8">
        <f t="shared" si="0"/>
        <v>30</v>
      </c>
      <c r="AC31" s="8">
        <f t="shared" si="10"/>
        <v>15</v>
      </c>
      <c r="AD31" s="1">
        <f t="shared" si="11"/>
        <v>4.5</v>
      </c>
      <c r="AE31" s="1">
        <f t="shared" si="12"/>
        <v>12</v>
      </c>
      <c r="AF31" s="1">
        <f t="shared" si="13"/>
        <v>7.5</v>
      </c>
      <c r="AG31" s="1">
        <f t="shared" si="24"/>
        <v>-0.5</v>
      </c>
      <c r="AH31" s="1">
        <f t="shared" si="25"/>
        <v>23.5</v>
      </c>
      <c r="AI31" t="b">
        <f>AH31=T31</f>
        <v>1</v>
      </c>
    </row>
    <row r="32" spans="1:35" x14ac:dyDescent="0.25">
      <c r="A32" s="4">
        <f t="shared" si="18"/>
        <v>58</v>
      </c>
      <c r="B32" s="3" t="str">
        <f t="shared" si="19"/>
        <v>3A</v>
      </c>
      <c r="C32" s="4" t="str">
        <f t="shared" si="20"/>
        <v>111010</v>
      </c>
      <c r="D32" s="4" t="str">
        <f t="shared" si="21"/>
        <v>1110</v>
      </c>
      <c r="E32" s="4" t="str">
        <f t="shared" si="22"/>
        <v>1010</v>
      </c>
      <c r="F32" s="4"/>
      <c r="H32" s="4"/>
      <c r="I32" s="13">
        <f t="shared" si="23"/>
        <v>0.4</v>
      </c>
      <c r="J32" s="14">
        <f t="shared" si="1"/>
        <v>0</v>
      </c>
      <c r="K32" s="14">
        <f t="shared" si="2"/>
        <v>1</v>
      </c>
      <c r="L32" s="14">
        <f t="shared" si="3"/>
        <v>0</v>
      </c>
      <c r="M32" s="14">
        <f>SUM($J32:$J$90)</f>
        <v>15</v>
      </c>
      <c r="N32" s="14">
        <f>SUM($K32:$K$90)</f>
        <v>30</v>
      </c>
      <c r="O32" s="14">
        <f>SUM($L32:$L$90)</f>
        <v>14</v>
      </c>
      <c r="P32">
        <f t="shared" si="4"/>
        <v>4.5</v>
      </c>
      <c r="Q32">
        <f t="shared" si="5"/>
        <v>12</v>
      </c>
      <c r="R32">
        <f t="shared" si="6"/>
        <v>7</v>
      </c>
      <c r="S32">
        <f t="shared" si="15"/>
        <v>-0.5</v>
      </c>
      <c r="T32">
        <f t="shared" si="16"/>
        <v>23</v>
      </c>
      <c r="U32"/>
      <c r="V32" t="b">
        <f>AA32=M32</f>
        <v>1</v>
      </c>
      <c r="W32" t="b">
        <f>AB32=N32</f>
        <v>1</v>
      </c>
      <c r="X32" t="b">
        <f>AC32=O32</f>
        <v>1</v>
      </c>
      <c r="Y32">
        <f t="shared" si="8"/>
        <v>14</v>
      </c>
      <c r="Z32" s="8">
        <f>A32/4</f>
        <v>14.5</v>
      </c>
      <c r="AA32" s="8">
        <f t="shared" si="9"/>
        <v>15</v>
      </c>
      <c r="AB32" s="8">
        <f t="shared" si="0"/>
        <v>30</v>
      </c>
      <c r="AC32" s="8">
        <f t="shared" si="10"/>
        <v>14</v>
      </c>
      <c r="AD32" s="1">
        <f t="shared" si="11"/>
        <v>4.5</v>
      </c>
      <c r="AE32" s="1">
        <f t="shared" si="12"/>
        <v>12</v>
      </c>
      <c r="AF32" s="1">
        <f t="shared" si="13"/>
        <v>7</v>
      </c>
      <c r="AG32" s="1">
        <f t="shared" si="24"/>
        <v>-0.5</v>
      </c>
      <c r="AH32" s="1">
        <f t="shared" si="25"/>
        <v>23</v>
      </c>
      <c r="AI32" t="b">
        <f>AH32=T32</f>
        <v>1</v>
      </c>
    </row>
    <row r="33" spans="1:35" x14ac:dyDescent="0.25">
      <c r="A33" s="4">
        <f t="shared" si="18"/>
        <v>57</v>
      </c>
      <c r="B33" s="3" t="str">
        <f t="shared" si="19"/>
        <v>39</v>
      </c>
      <c r="C33" s="4" t="str">
        <f t="shared" si="20"/>
        <v>111001</v>
      </c>
      <c r="D33" s="4" t="str">
        <f t="shared" si="21"/>
        <v>1110</v>
      </c>
      <c r="E33" s="4" t="str">
        <f t="shared" si="22"/>
        <v>1001</v>
      </c>
      <c r="F33" s="4"/>
      <c r="H33" s="4"/>
      <c r="I33" s="13">
        <f t="shared" si="23"/>
        <v>0.3</v>
      </c>
      <c r="J33" s="14">
        <f t="shared" si="1"/>
        <v>1</v>
      </c>
      <c r="K33" s="14">
        <f t="shared" si="2"/>
        <v>0</v>
      </c>
      <c r="L33" s="14">
        <f t="shared" si="3"/>
        <v>0</v>
      </c>
      <c r="M33" s="14">
        <f>SUM($J33:$J$90)</f>
        <v>15</v>
      </c>
      <c r="N33" s="14">
        <f>SUM($K33:$K$90)</f>
        <v>29</v>
      </c>
      <c r="O33" s="14">
        <f>SUM($L33:$L$90)</f>
        <v>14</v>
      </c>
      <c r="P33">
        <f t="shared" si="4"/>
        <v>4.5</v>
      </c>
      <c r="Q33">
        <f t="shared" si="5"/>
        <v>11.600000000000001</v>
      </c>
      <c r="R33">
        <f t="shared" si="6"/>
        <v>7</v>
      </c>
      <c r="S33">
        <f t="shared" si="15"/>
        <v>-0.5</v>
      </c>
      <c r="T33">
        <f t="shared" si="16"/>
        <v>22.6</v>
      </c>
      <c r="U33"/>
      <c r="V33" t="b">
        <f>AA33=M33</f>
        <v>1</v>
      </c>
      <c r="W33" t="b">
        <f>AB33=N33</f>
        <v>1</v>
      </c>
      <c r="X33" t="b">
        <f>AC33=O33</f>
        <v>1</v>
      </c>
      <c r="Y33">
        <f t="shared" si="8"/>
        <v>14</v>
      </c>
      <c r="Z33" s="8">
        <f>A33/4</f>
        <v>14.25</v>
      </c>
      <c r="AA33" s="8">
        <f t="shared" si="9"/>
        <v>15</v>
      </c>
      <c r="AB33" s="8">
        <f t="shared" si="0"/>
        <v>29</v>
      </c>
      <c r="AC33" s="8">
        <f t="shared" si="10"/>
        <v>14</v>
      </c>
      <c r="AD33" s="1">
        <f t="shared" si="11"/>
        <v>4.5</v>
      </c>
      <c r="AE33" s="1">
        <f t="shared" si="12"/>
        <v>11.600000000000001</v>
      </c>
      <c r="AF33" s="1">
        <f t="shared" si="13"/>
        <v>7</v>
      </c>
      <c r="AG33" s="1">
        <f t="shared" si="24"/>
        <v>-0.5</v>
      </c>
      <c r="AH33" s="1">
        <f t="shared" si="25"/>
        <v>22.6</v>
      </c>
      <c r="AI33" t="b">
        <f>AH33=T33</f>
        <v>1</v>
      </c>
    </row>
    <row r="34" spans="1:35" x14ac:dyDescent="0.25">
      <c r="A34" s="4">
        <f t="shared" si="18"/>
        <v>56</v>
      </c>
      <c r="B34" s="3" t="str">
        <f t="shared" si="19"/>
        <v>38</v>
      </c>
      <c r="C34" s="4" t="str">
        <f t="shared" si="20"/>
        <v>111000</v>
      </c>
      <c r="D34" s="4" t="str">
        <f t="shared" si="21"/>
        <v>1110</v>
      </c>
      <c r="E34" s="4" t="str">
        <f t="shared" si="22"/>
        <v>1000</v>
      </c>
      <c r="F34" s="4"/>
      <c r="H34" s="4"/>
      <c r="I34" s="13">
        <f t="shared" si="23"/>
        <v>0.4</v>
      </c>
      <c r="J34" s="14">
        <f t="shared" si="1"/>
        <v>0</v>
      </c>
      <c r="K34" s="14">
        <f t="shared" si="2"/>
        <v>1</v>
      </c>
      <c r="L34" s="14">
        <f t="shared" si="3"/>
        <v>0</v>
      </c>
      <c r="M34" s="14">
        <f>SUM($J34:$J$90)</f>
        <v>14</v>
      </c>
      <c r="N34" s="14">
        <f>SUM($K34:$K$90)</f>
        <v>29</v>
      </c>
      <c r="O34" s="14">
        <f>SUM($L34:$L$90)</f>
        <v>14</v>
      </c>
      <c r="P34">
        <f t="shared" si="4"/>
        <v>4.2</v>
      </c>
      <c r="Q34">
        <f t="shared" si="5"/>
        <v>11.600000000000001</v>
      </c>
      <c r="R34">
        <f t="shared" si="6"/>
        <v>7</v>
      </c>
      <c r="S34">
        <f t="shared" si="15"/>
        <v>-0.5</v>
      </c>
      <c r="T34">
        <f t="shared" si="16"/>
        <v>22.3</v>
      </c>
      <c r="U34"/>
      <c r="V34" t="b">
        <f>AA34=M34</f>
        <v>1</v>
      </c>
      <c r="W34" t="b">
        <f>AB34=N34</f>
        <v>1</v>
      </c>
      <c r="X34" t="b">
        <f>AC34=O34</f>
        <v>1</v>
      </c>
      <c r="Y34">
        <f t="shared" si="8"/>
        <v>14</v>
      </c>
      <c r="Z34" s="8">
        <f>A34/4</f>
        <v>14</v>
      </c>
      <c r="AA34" s="8">
        <f t="shared" si="9"/>
        <v>14</v>
      </c>
      <c r="AB34" s="8">
        <f t="shared" si="0"/>
        <v>29</v>
      </c>
      <c r="AC34" s="8">
        <f t="shared" si="10"/>
        <v>14</v>
      </c>
      <c r="AD34" s="1">
        <f t="shared" si="11"/>
        <v>4.2</v>
      </c>
      <c r="AE34" s="1">
        <f t="shared" si="12"/>
        <v>11.600000000000001</v>
      </c>
      <c r="AF34" s="1">
        <f t="shared" si="13"/>
        <v>7</v>
      </c>
      <c r="AG34" s="1">
        <f t="shared" si="24"/>
        <v>-0.5</v>
      </c>
      <c r="AH34" s="1">
        <f t="shared" si="25"/>
        <v>22.3</v>
      </c>
      <c r="AI34" t="b">
        <f>AH34=T34</f>
        <v>1</v>
      </c>
    </row>
    <row r="35" spans="1:35" x14ac:dyDescent="0.25">
      <c r="A35" s="4">
        <f t="shared" si="18"/>
        <v>55</v>
      </c>
      <c r="B35" s="3" t="str">
        <f t="shared" si="19"/>
        <v>37</v>
      </c>
      <c r="C35" s="4" t="str">
        <f t="shared" si="20"/>
        <v>110111</v>
      </c>
      <c r="D35" s="4" t="str">
        <f t="shared" si="21"/>
        <v>1101</v>
      </c>
      <c r="E35" s="4" t="str">
        <f t="shared" si="22"/>
        <v>0111</v>
      </c>
      <c r="F35" s="4"/>
      <c r="H35" s="4"/>
      <c r="I35" s="13">
        <f t="shared" si="23"/>
        <v>0.5</v>
      </c>
      <c r="J35" s="14">
        <f t="shared" si="1"/>
        <v>0</v>
      </c>
      <c r="K35" s="14">
        <f t="shared" si="2"/>
        <v>0</v>
      </c>
      <c r="L35" s="14">
        <f t="shared" si="3"/>
        <v>1</v>
      </c>
      <c r="M35" s="14">
        <f>SUM($J35:$J$90)</f>
        <v>14</v>
      </c>
      <c r="N35" s="14">
        <f>SUM($K35:$K$90)</f>
        <v>28</v>
      </c>
      <c r="O35" s="14">
        <f>SUM($L35:$L$90)</f>
        <v>14</v>
      </c>
      <c r="P35">
        <f t="shared" si="4"/>
        <v>4.2</v>
      </c>
      <c r="Q35">
        <f t="shared" si="5"/>
        <v>11.200000000000001</v>
      </c>
      <c r="R35">
        <f t="shared" si="6"/>
        <v>7</v>
      </c>
      <c r="S35">
        <f t="shared" si="15"/>
        <v>-0.5</v>
      </c>
      <c r="T35">
        <f t="shared" si="16"/>
        <v>21.900000000000002</v>
      </c>
      <c r="U35"/>
      <c r="V35" t="b">
        <f>AA35=M35</f>
        <v>1</v>
      </c>
      <c r="W35" t="b">
        <f>AB35=N35</f>
        <v>1</v>
      </c>
      <c r="X35" t="b">
        <f>AC35=O35</f>
        <v>1</v>
      </c>
      <c r="Y35">
        <f t="shared" si="8"/>
        <v>13</v>
      </c>
      <c r="Z35" s="8">
        <f>A35/4</f>
        <v>13.75</v>
      </c>
      <c r="AA35" s="8">
        <f t="shared" si="9"/>
        <v>14</v>
      </c>
      <c r="AB35" s="8">
        <f t="shared" si="0"/>
        <v>28</v>
      </c>
      <c r="AC35" s="8">
        <f t="shared" si="10"/>
        <v>14</v>
      </c>
      <c r="AD35" s="1">
        <f t="shared" si="11"/>
        <v>4.2</v>
      </c>
      <c r="AE35" s="1">
        <f t="shared" si="12"/>
        <v>11.200000000000001</v>
      </c>
      <c r="AF35" s="1">
        <f t="shared" si="13"/>
        <v>7</v>
      </c>
      <c r="AG35" s="1">
        <f t="shared" si="24"/>
        <v>-0.5</v>
      </c>
      <c r="AH35" s="1">
        <f t="shared" si="25"/>
        <v>21.900000000000002</v>
      </c>
      <c r="AI35" t="b">
        <f>AH35=T35</f>
        <v>1</v>
      </c>
    </row>
    <row r="36" spans="1:35" x14ac:dyDescent="0.25">
      <c r="A36" s="4">
        <f t="shared" si="18"/>
        <v>54</v>
      </c>
      <c r="B36" s="3" t="str">
        <f t="shared" si="19"/>
        <v>36</v>
      </c>
      <c r="C36" s="4" t="str">
        <f t="shared" si="20"/>
        <v>110110</v>
      </c>
      <c r="D36" s="4" t="str">
        <f t="shared" si="21"/>
        <v>1101</v>
      </c>
      <c r="E36" s="4" t="str">
        <f t="shared" si="22"/>
        <v>0110</v>
      </c>
      <c r="F36" s="4"/>
      <c r="H36" s="4"/>
      <c r="I36" s="13">
        <f t="shared" si="23"/>
        <v>0.4</v>
      </c>
      <c r="J36" s="14">
        <f t="shared" si="1"/>
        <v>0</v>
      </c>
      <c r="K36" s="14">
        <f t="shared" si="2"/>
        <v>1</v>
      </c>
      <c r="L36" s="14">
        <f t="shared" si="3"/>
        <v>0</v>
      </c>
      <c r="M36" s="14">
        <f>SUM($J36:$J$90)</f>
        <v>14</v>
      </c>
      <c r="N36" s="14">
        <f>SUM($K36:$K$90)</f>
        <v>28</v>
      </c>
      <c r="O36" s="14">
        <f>SUM($L36:$L$90)</f>
        <v>13</v>
      </c>
      <c r="P36">
        <f t="shared" si="4"/>
        <v>4.2</v>
      </c>
      <c r="Q36">
        <f t="shared" si="5"/>
        <v>11.200000000000001</v>
      </c>
      <c r="R36">
        <f t="shared" si="6"/>
        <v>6.5</v>
      </c>
      <c r="S36">
        <f t="shared" si="15"/>
        <v>-0.5</v>
      </c>
      <c r="T36">
        <f t="shared" si="16"/>
        <v>21.400000000000002</v>
      </c>
      <c r="U36"/>
      <c r="V36" t="b">
        <f>AA36=M36</f>
        <v>1</v>
      </c>
      <c r="W36" t="b">
        <f>AB36=N36</f>
        <v>1</v>
      </c>
      <c r="X36" t="b">
        <f>AC36=O36</f>
        <v>1</v>
      </c>
      <c r="Y36">
        <f t="shared" si="8"/>
        <v>13</v>
      </c>
      <c r="Z36" s="8">
        <f>A36/4</f>
        <v>13.5</v>
      </c>
      <c r="AA36" s="8">
        <f t="shared" si="9"/>
        <v>14</v>
      </c>
      <c r="AB36" s="8">
        <f t="shared" si="0"/>
        <v>28</v>
      </c>
      <c r="AC36" s="8">
        <f t="shared" si="10"/>
        <v>13</v>
      </c>
      <c r="AD36" s="1">
        <f t="shared" si="11"/>
        <v>4.2</v>
      </c>
      <c r="AE36" s="1">
        <f t="shared" si="12"/>
        <v>11.200000000000001</v>
      </c>
      <c r="AF36" s="1">
        <f t="shared" si="13"/>
        <v>6.5</v>
      </c>
      <c r="AG36" s="1">
        <f t="shared" si="24"/>
        <v>-0.5</v>
      </c>
      <c r="AH36" s="1">
        <f t="shared" si="25"/>
        <v>21.400000000000002</v>
      </c>
      <c r="AI36" t="b">
        <f>AH36=T36</f>
        <v>1</v>
      </c>
    </row>
    <row r="37" spans="1:35" x14ac:dyDescent="0.25">
      <c r="A37" s="4">
        <f t="shared" si="18"/>
        <v>53</v>
      </c>
      <c r="B37" s="3" t="str">
        <f t="shared" si="19"/>
        <v>35</v>
      </c>
      <c r="C37" s="4" t="str">
        <f t="shared" si="20"/>
        <v>110101</v>
      </c>
      <c r="D37" s="4" t="str">
        <f t="shared" si="21"/>
        <v>1101</v>
      </c>
      <c r="E37" s="4" t="str">
        <f t="shared" si="22"/>
        <v>0101</v>
      </c>
      <c r="F37" s="4"/>
      <c r="H37" s="4"/>
      <c r="I37" s="13">
        <f t="shared" si="23"/>
        <v>0.3</v>
      </c>
      <c r="J37" s="14">
        <f t="shared" si="1"/>
        <v>1</v>
      </c>
      <c r="K37" s="14">
        <f t="shared" si="2"/>
        <v>0</v>
      </c>
      <c r="L37" s="14">
        <f t="shared" si="3"/>
        <v>0</v>
      </c>
      <c r="M37" s="14">
        <f>SUM($J37:$J$90)</f>
        <v>14</v>
      </c>
      <c r="N37" s="14">
        <f>SUM($K37:$K$90)</f>
        <v>27</v>
      </c>
      <c r="O37" s="14">
        <f>SUM($L37:$L$90)</f>
        <v>13</v>
      </c>
      <c r="P37">
        <f t="shared" si="4"/>
        <v>4.2</v>
      </c>
      <c r="Q37">
        <f t="shared" si="5"/>
        <v>10.8</v>
      </c>
      <c r="R37">
        <f t="shared" si="6"/>
        <v>6.5</v>
      </c>
      <c r="S37">
        <f t="shared" si="15"/>
        <v>-0.5</v>
      </c>
      <c r="T37">
        <f t="shared" si="16"/>
        <v>21</v>
      </c>
      <c r="U37"/>
      <c r="V37" t="b">
        <f>AA37=M37</f>
        <v>1</v>
      </c>
      <c r="W37" t="b">
        <f>AB37=N37</f>
        <v>1</v>
      </c>
      <c r="X37" t="b">
        <f>AC37=O37</f>
        <v>1</v>
      </c>
      <c r="Y37">
        <f t="shared" si="8"/>
        <v>13</v>
      </c>
      <c r="Z37" s="8">
        <f>A37/4</f>
        <v>13.25</v>
      </c>
      <c r="AA37" s="8">
        <f t="shared" si="9"/>
        <v>14</v>
      </c>
      <c r="AB37" s="8">
        <f t="shared" si="0"/>
        <v>27</v>
      </c>
      <c r="AC37" s="8">
        <f t="shared" si="10"/>
        <v>13</v>
      </c>
      <c r="AD37" s="1">
        <f t="shared" si="11"/>
        <v>4.2</v>
      </c>
      <c r="AE37" s="1">
        <f t="shared" si="12"/>
        <v>10.8</v>
      </c>
      <c r="AF37" s="1">
        <f t="shared" si="13"/>
        <v>6.5</v>
      </c>
      <c r="AG37" s="1">
        <f t="shared" si="24"/>
        <v>-0.5</v>
      </c>
      <c r="AH37" s="1">
        <f t="shared" si="25"/>
        <v>21</v>
      </c>
      <c r="AI37" t="b">
        <f>AH37=T37</f>
        <v>1</v>
      </c>
    </row>
    <row r="38" spans="1:35" x14ac:dyDescent="0.25">
      <c r="A38" s="4">
        <f t="shared" si="18"/>
        <v>52</v>
      </c>
      <c r="B38" s="3" t="str">
        <f t="shared" si="19"/>
        <v>34</v>
      </c>
      <c r="C38" s="4" t="str">
        <f t="shared" si="20"/>
        <v>110100</v>
      </c>
      <c r="D38" s="4" t="str">
        <f t="shared" si="21"/>
        <v>1101</v>
      </c>
      <c r="E38" s="4" t="str">
        <f t="shared" si="22"/>
        <v>0100</v>
      </c>
      <c r="F38" s="4"/>
      <c r="H38" s="4"/>
      <c r="I38" s="13">
        <f t="shared" si="23"/>
        <v>0.4</v>
      </c>
      <c r="J38" s="14">
        <f t="shared" si="1"/>
        <v>0</v>
      </c>
      <c r="K38" s="14">
        <f t="shared" si="2"/>
        <v>1</v>
      </c>
      <c r="L38" s="14">
        <f t="shared" si="3"/>
        <v>0</v>
      </c>
      <c r="M38" s="14">
        <f>SUM($J38:$J$90)</f>
        <v>13</v>
      </c>
      <c r="N38" s="14">
        <f>SUM($K38:$K$90)</f>
        <v>27</v>
      </c>
      <c r="O38" s="14">
        <f>SUM($L38:$L$90)</f>
        <v>13</v>
      </c>
      <c r="P38">
        <f t="shared" si="4"/>
        <v>3.9</v>
      </c>
      <c r="Q38">
        <f t="shared" si="5"/>
        <v>10.8</v>
      </c>
      <c r="R38">
        <f t="shared" si="6"/>
        <v>6.5</v>
      </c>
      <c r="S38">
        <f t="shared" si="15"/>
        <v>-0.5</v>
      </c>
      <c r="T38">
        <f t="shared" si="16"/>
        <v>20.700000000000003</v>
      </c>
      <c r="U38"/>
      <c r="V38" t="b">
        <f>AA38=M38</f>
        <v>1</v>
      </c>
      <c r="W38" t="b">
        <f>AB38=N38</f>
        <v>1</v>
      </c>
      <c r="X38" t="b">
        <f>AC38=O38</f>
        <v>1</v>
      </c>
      <c r="Y38">
        <f t="shared" si="8"/>
        <v>13</v>
      </c>
      <c r="Z38" s="8">
        <f>A38/4</f>
        <v>13</v>
      </c>
      <c r="AA38" s="8">
        <f t="shared" si="9"/>
        <v>13</v>
      </c>
      <c r="AB38" s="8">
        <f t="shared" si="0"/>
        <v>27</v>
      </c>
      <c r="AC38" s="8">
        <f t="shared" si="10"/>
        <v>13</v>
      </c>
      <c r="AD38" s="1">
        <f t="shared" si="11"/>
        <v>3.9</v>
      </c>
      <c r="AE38" s="1">
        <f t="shared" si="12"/>
        <v>10.8</v>
      </c>
      <c r="AF38" s="1">
        <f t="shared" si="13"/>
        <v>6.5</v>
      </c>
      <c r="AG38" s="1">
        <f t="shared" si="24"/>
        <v>-0.5</v>
      </c>
      <c r="AH38" s="1">
        <f t="shared" si="25"/>
        <v>20.700000000000003</v>
      </c>
      <c r="AI38" t="b">
        <f>AH38=T38</f>
        <v>1</v>
      </c>
    </row>
    <row r="39" spans="1:35" x14ac:dyDescent="0.25">
      <c r="A39" s="4">
        <f t="shared" si="18"/>
        <v>51</v>
      </c>
      <c r="B39" s="3" t="str">
        <f t="shared" si="19"/>
        <v>33</v>
      </c>
      <c r="C39" s="4" t="str">
        <f t="shared" si="20"/>
        <v>110011</v>
      </c>
      <c r="D39" s="4" t="str">
        <f t="shared" si="21"/>
        <v>1100</v>
      </c>
      <c r="E39" s="4" t="str">
        <f t="shared" si="22"/>
        <v>0011</v>
      </c>
      <c r="F39" s="4"/>
      <c r="H39" s="4"/>
      <c r="I39" s="13">
        <f t="shared" si="23"/>
        <v>0.5</v>
      </c>
      <c r="J39" s="14">
        <f t="shared" si="1"/>
        <v>0</v>
      </c>
      <c r="K39" s="14">
        <f t="shared" si="2"/>
        <v>0</v>
      </c>
      <c r="L39" s="14">
        <f t="shared" si="3"/>
        <v>1</v>
      </c>
      <c r="M39" s="14">
        <f>SUM($J39:$J$90)</f>
        <v>13</v>
      </c>
      <c r="N39" s="14">
        <f>SUM($K39:$K$90)</f>
        <v>26</v>
      </c>
      <c r="O39" s="14">
        <f>SUM($L39:$L$90)</f>
        <v>13</v>
      </c>
      <c r="P39">
        <f t="shared" si="4"/>
        <v>3.9</v>
      </c>
      <c r="Q39">
        <f t="shared" si="5"/>
        <v>10.4</v>
      </c>
      <c r="R39">
        <f t="shared" si="6"/>
        <v>6.5</v>
      </c>
      <c r="S39">
        <f t="shared" si="15"/>
        <v>-0.5</v>
      </c>
      <c r="T39">
        <f t="shared" si="16"/>
        <v>20.3</v>
      </c>
      <c r="U39"/>
      <c r="V39" t="b">
        <f>AA39=M39</f>
        <v>1</v>
      </c>
      <c r="W39" t="b">
        <f>AB39=N39</f>
        <v>1</v>
      </c>
      <c r="X39" t="b">
        <f>AC39=O39</f>
        <v>1</v>
      </c>
      <c r="Y39">
        <f t="shared" si="8"/>
        <v>12</v>
      </c>
      <c r="Z39" s="8">
        <f>A39/4</f>
        <v>12.75</v>
      </c>
      <c r="AA39" s="8">
        <f t="shared" si="9"/>
        <v>13</v>
      </c>
      <c r="AB39" s="8">
        <f t="shared" si="0"/>
        <v>26</v>
      </c>
      <c r="AC39" s="8">
        <f t="shared" si="10"/>
        <v>13</v>
      </c>
      <c r="AD39" s="1">
        <f t="shared" si="11"/>
        <v>3.9</v>
      </c>
      <c r="AE39" s="1">
        <f t="shared" si="12"/>
        <v>10.4</v>
      </c>
      <c r="AF39" s="1">
        <f t="shared" si="13"/>
        <v>6.5</v>
      </c>
      <c r="AG39" s="1">
        <f t="shared" si="24"/>
        <v>-0.5</v>
      </c>
      <c r="AH39" s="1">
        <f t="shared" si="25"/>
        <v>20.3</v>
      </c>
      <c r="AI39" t="b">
        <f>AH39=T39</f>
        <v>1</v>
      </c>
    </row>
    <row r="40" spans="1:35" x14ac:dyDescent="0.25">
      <c r="A40" s="4">
        <f t="shared" si="18"/>
        <v>50</v>
      </c>
      <c r="B40" s="3" t="str">
        <f t="shared" si="19"/>
        <v>32</v>
      </c>
      <c r="C40" s="4" t="str">
        <f t="shared" si="20"/>
        <v>110010</v>
      </c>
      <c r="D40" s="4" t="str">
        <f t="shared" si="21"/>
        <v>1100</v>
      </c>
      <c r="E40" s="4" t="str">
        <f t="shared" si="22"/>
        <v>0010</v>
      </c>
      <c r="F40" s="4"/>
      <c r="H40" s="4"/>
      <c r="I40" s="13">
        <f t="shared" si="23"/>
        <v>0.4</v>
      </c>
      <c r="J40" s="14">
        <f t="shared" si="1"/>
        <v>0</v>
      </c>
      <c r="K40" s="14">
        <f t="shared" si="2"/>
        <v>1</v>
      </c>
      <c r="L40" s="14">
        <f t="shared" si="3"/>
        <v>0</v>
      </c>
      <c r="M40" s="14">
        <f>SUM($J40:$J$90)</f>
        <v>13</v>
      </c>
      <c r="N40" s="14">
        <f>SUM($K40:$K$90)</f>
        <v>26</v>
      </c>
      <c r="O40" s="14">
        <f>SUM($L40:$L$90)</f>
        <v>12</v>
      </c>
      <c r="P40">
        <f t="shared" si="4"/>
        <v>3.9</v>
      </c>
      <c r="Q40">
        <f t="shared" si="5"/>
        <v>10.4</v>
      </c>
      <c r="R40">
        <f t="shared" si="6"/>
        <v>6</v>
      </c>
      <c r="S40">
        <f t="shared" si="15"/>
        <v>-0.5</v>
      </c>
      <c r="T40">
        <f t="shared" si="16"/>
        <v>19.8</v>
      </c>
      <c r="U40"/>
      <c r="V40" t="b">
        <f>AA40=M40</f>
        <v>1</v>
      </c>
      <c r="W40" t="b">
        <f>AB40=N40</f>
        <v>1</v>
      </c>
      <c r="X40" t="b">
        <f>AC40=O40</f>
        <v>1</v>
      </c>
      <c r="Y40">
        <f t="shared" si="8"/>
        <v>12</v>
      </c>
      <c r="Z40" s="8">
        <f>A40/4</f>
        <v>12.5</v>
      </c>
      <c r="AA40" s="8">
        <f t="shared" si="9"/>
        <v>13</v>
      </c>
      <c r="AB40" s="8">
        <f t="shared" si="0"/>
        <v>26</v>
      </c>
      <c r="AC40" s="8">
        <f t="shared" si="10"/>
        <v>12</v>
      </c>
      <c r="AD40" s="1">
        <f t="shared" si="11"/>
        <v>3.9</v>
      </c>
      <c r="AE40" s="1">
        <f t="shared" si="12"/>
        <v>10.4</v>
      </c>
      <c r="AF40" s="1">
        <f t="shared" si="13"/>
        <v>6</v>
      </c>
      <c r="AG40" s="1">
        <f t="shared" si="24"/>
        <v>-0.5</v>
      </c>
      <c r="AH40" s="1">
        <f t="shared" si="25"/>
        <v>19.8</v>
      </c>
      <c r="AI40" t="b">
        <f>AH40=T40</f>
        <v>1</v>
      </c>
    </row>
    <row r="41" spans="1:35" x14ac:dyDescent="0.25">
      <c r="A41" s="4">
        <f t="shared" si="18"/>
        <v>49</v>
      </c>
      <c r="B41" s="3" t="str">
        <f t="shared" si="19"/>
        <v>31</v>
      </c>
      <c r="C41" s="4" t="str">
        <f t="shared" si="20"/>
        <v>110001</v>
      </c>
      <c r="D41" s="4" t="str">
        <f t="shared" si="21"/>
        <v>1100</v>
      </c>
      <c r="E41" s="4" t="str">
        <f t="shared" si="22"/>
        <v>0001</v>
      </c>
      <c r="F41" s="4"/>
      <c r="H41" s="4"/>
      <c r="I41" s="13">
        <f t="shared" si="23"/>
        <v>0.3</v>
      </c>
      <c r="J41" s="14">
        <f t="shared" si="1"/>
        <v>1</v>
      </c>
      <c r="K41" s="14">
        <f t="shared" si="2"/>
        <v>0</v>
      </c>
      <c r="L41" s="14">
        <f t="shared" si="3"/>
        <v>0</v>
      </c>
      <c r="M41" s="14">
        <f>SUM($J41:$J$90)</f>
        <v>13</v>
      </c>
      <c r="N41" s="14">
        <f>SUM($K41:$K$90)</f>
        <v>25</v>
      </c>
      <c r="O41" s="14">
        <f>SUM($L41:$L$90)</f>
        <v>12</v>
      </c>
      <c r="P41">
        <f t="shared" si="4"/>
        <v>3.9</v>
      </c>
      <c r="Q41">
        <f t="shared" si="5"/>
        <v>10</v>
      </c>
      <c r="R41">
        <f t="shared" si="6"/>
        <v>6</v>
      </c>
      <c r="S41">
        <f t="shared" si="15"/>
        <v>-0.5</v>
      </c>
      <c r="T41">
        <f t="shared" si="16"/>
        <v>19.399999999999999</v>
      </c>
      <c r="U41"/>
      <c r="V41" t="b">
        <f>AA41=M41</f>
        <v>1</v>
      </c>
      <c r="W41" t="b">
        <f>AB41=N41</f>
        <v>1</v>
      </c>
      <c r="X41" t="b">
        <f>AC41=O41</f>
        <v>1</v>
      </c>
      <c r="Y41">
        <f t="shared" si="8"/>
        <v>12</v>
      </c>
      <c r="Z41" s="8">
        <f>A41/4</f>
        <v>12.25</v>
      </c>
      <c r="AA41" s="8">
        <f t="shared" si="9"/>
        <v>13</v>
      </c>
      <c r="AB41" s="8">
        <f t="shared" si="0"/>
        <v>25</v>
      </c>
      <c r="AC41" s="8">
        <f t="shared" si="10"/>
        <v>12</v>
      </c>
      <c r="AD41" s="1">
        <f t="shared" si="11"/>
        <v>3.9</v>
      </c>
      <c r="AE41" s="1">
        <f t="shared" si="12"/>
        <v>10</v>
      </c>
      <c r="AF41" s="1">
        <f t="shared" si="13"/>
        <v>6</v>
      </c>
      <c r="AG41" s="1">
        <f t="shared" si="24"/>
        <v>-0.5</v>
      </c>
      <c r="AH41" s="1">
        <f t="shared" si="25"/>
        <v>19.399999999999999</v>
      </c>
      <c r="AI41" t="b">
        <f>AH41=T41</f>
        <v>1</v>
      </c>
    </row>
    <row r="42" spans="1:35" x14ac:dyDescent="0.25">
      <c r="A42" s="4">
        <f t="shared" si="18"/>
        <v>48</v>
      </c>
      <c r="B42" s="3" t="str">
        <f t="shared" si="19"/>
        <v>30</v>
      </c>
      <c r="C42" s="4" t="str">
        <f t="shared" si="20"/>
        <v>110000</v>
      </c>
      <c r="D42" s="4" t="str">
        <f t="shared" si="21"/>
        <v>1100</v>
      </c>
      <c r="E42" s="4" t="str">
        <f t="shared" si="22"/>
        <v>0000</v>
      </c>
      <c r="F42" s="4"/>
      <c r="H42" s="4"/>
      <c r="I42" s="13">
        <f t="shared" si="23"/>
        <v>0.4</v>
      </c>
      <c r="J42" s="14">
        <f t="shared" si="1"/>
        <v>0</v>
      </c>
      <c r="K42" s="14">
        <f t="shared" si="2"/>
        <v>1</v>
      </c>
      <c r="L42" s="14">
        <f t="shared" si="3"/>
        <v>0</v>
      </c>
      <c r="M42" s="14">
        <f>SUM($J42:$J$90)</f>
        <v>12</v>
      </c>
      <c r="N42" s="14">
        <f>SUM($K42:$K$90)</f>
        <v>25</v>
      </c>
      <c r="O42" s="14">
        <f>SUM($L42:$L$90)</f>
        <v>12</v>
      </c>
      <c r="P42">
        <f t="shared" si="4"/>
        <v>3.5999999999999996</v>
      </c>
      <c r="Q42">
        <f t="shared" si="5"/>
        <v>10</v>
      </c>
      <c r="R42">
        <f t="shared" si="6"/>
        <v>6</v>
      </c>
      <c r="S42">
        <f t="shared" si="15"/>
        <v>-0.5</v>
      </c>
      <c r="T42">
        <f t="shared" si="16"/>
        <v>19.100000000000001</v>
      </c>
      <c r="U42"/>
      <c r="V42" t="b">
        <f>AA42=M42</f>
        <v>1</v>
      </c>
      <c r="W42" t="b">
        <f>AB42=N42</f>
        <v>1</v>
      </c>
      <c r="X42" t="b">
        <f>AC42=O42</f>
        <v>1</v>
      </c>
      <c r="Y42">
        <f t="shared" si="8"/>
        <v>12</v>
      </c>
      <c r="Z42" s="8">
        <f>A42/4</f>
        <v>12</v>
      </c>
      <c r="AA42" s="8">
        <f t="shared" si="9"/>
        <v>12</v>
      </c>
      <c r="AB42" s="8">
        <f t="shared" si="0"/>
        <v>25</v>
      </c>
      <c r="AC42" s="8">
        <f t="shared" si="10"/>
        <v>12</v>
      </c>
      <c r="AD42" s="1">
        <f t="shared" si="11"/>
        <v>3.5999999999999996</v>
      </c>
      <c r="AE42" s="1">
        <f t="shared" si="12"/>
        <v>10</v>
      </c>
      <c r="AF42" s="1">
        <f t="shared" si="13"/>
        <v>6</v>
      </c>
      <c r="AG42" s="1">
        <f t="shared" si="24"/>
        <v>-0.5</v>
      </c>
      <c r="AH42" s="1">
        <f t="shared" si="25"/>
        <v>19.100000000000001</v>
      </c>
      <c r="AI42" t="b">
        <f>AH42=T42</f>
        <v>1</v>
      </c>
    </row>
    <row r="43" spans="1:35" x14ac:dyDescent="0.25">
      <c r="A43" s="4">
        <f t="shared" si="18"/>
        <v>47</v>
      </c>
      <c r="B43" s="3" t="str">
        <f t="shared" si="19"/>
        <v>2F</v>
      </c>
      <c r="C43" s="4" t="str">
        <f t="shared" si="20"/>
        <v>101111</v>
      </c>
      <c r="D43" s="4" t="str">
        <f t="shared" si="21"/>
        <v>1011</v>
      </c>
      <c r="E43" s="4" t="str">
        <f t="shared" si="22"/>
        <v>1111</v>
      </c>
      <c r="F43" s="4"/>
      <c r="H43" s="4"/>
      <c r="I43" s="13">
        <f t="shared" si="23"/>
        <v>0.5</v>
      </c>
      <c r="J43" s="14">
        <f t="shared" si="1"/>
        <v>0</v>
      </c>
      <c r="K43" s="14">
        <f t="shared" si="2"/>
        <v>0</v>
      </c>
      <c r="L43" s="14">
        <f t="shared" si="3"/>
        <v>1</v>
      </c>
      <c r="M43" s="14">
        <f>SUM($J43:$J$90)</f>
        <v>12</v>
      </c>
      <c r="N43" s="14">
        <f>SUM($K43:$K$90)</f>
        <v>24</v>
      </c>
      <c r="O43" s="14">
        <f>SUM($L43:$L$90)</f>
        <v>12</v>
      </c>
      <c r="P43">
        <f t="shared" si="4"/>
        <v>3.5999999999999996</v>
      </c>
      <c r="Q43">
        <f t="shared" si="5"/>
        <v>9.6000000000000014</v>
      </c>
      <c r="R43">
        <f t="shared" si="6"/>
        <v>6</v>
      </c>
      <c r="S43">
        <f t="shared" si="15"/>
        <v>-0.5</v>
      </c>
      <c r="T43">
        <f t="shared" si="16"/>
        <v>18.700000000000003</v>
      </c>
      <c r="U43"/>
      <c r="V43" t="b">
        <f>AA43=M43</f>
        <v>1</v>
      </c>
      <c r="W43" t="b">
        <f>AB43=N43</f>
        <v>1</v>
      </c>
      <c r="X43" t="b">
        <f>AC43=O43</f>
        <v>1</v>
      </c>
      <c r="Y43">
        <f t="shared" si="8"/>
        <v>11</v>
      </c>
      <c r="Z43" s="8">
        <f>A43/4</f>
        <v>11.75</v>
      </c>
      <c r="AA43" s="8">
        <f t="shared" si="9"/>
        <v>12</v>
      </c>
      <c r="AB43" s="8">
        <f t="shared" si="0"/>
        <v>24</v>
      </c>
      <c r="AC43" s="8">
        <f t="shared" si="10"/>
        <v>12</v>
      </c>
      <c r="AD43" s="1">
        <f t="shared" si="11"/>
        <v>3.5999999999999996</v>
      </c>
      <c r="AE43" s="1">
        <f t="shared" si="12"/>
        <v>9.6000000000000014</v>
      </c>
      <c r="AF43" s="1">
        <f t="shared" si="13"/>
        <v>6</v>
      </c>
      <c r="AG43" s="1">
        <f t="shared" si="24"/>
        <v>-0.5</v>
      </c>
      <c r="AH43" s="1">
        <f t="shared" si="25"/>
        <v>18.700000000000003</v>
      </c>
      <c r="AI43" t="b">
        <f>AH43=T43</f>
        <v>1</v>
      </c>
    </row>
    <row r="44" spans="1:35" x14ac:dyDescent="0.25">
      <c r="A44" s="4">
        <f t="shared" si="18"/>
        <v>46</v>
      </c>
      <c r="B44" s="3" t="str">
        <f t="shared" si="19"/>
        <v>2E</v>
      </c>
      <c r="C44" s="4" t="str">
        <f t="shared" si="20"/>
        <v>101110</v>
      </c>
      <c r="D44" s="4" t="str">
        <f t="shared" si="21"/>
        <v>1011</v>
      </c>
      <c r="E44" s="4" t="str">
        <f t="shared" si="22"/>
        <v>1110</v>
      </c>
      <c r="F44" s="4"/>
      <c r="H44" s="4"/>
      <c r="I44" s="13">
        <f t="shared" si="23"/>
        <v>0.4</v>
      </c>
      <c r="J44" s="14">
        <f t="shared" si="1"/>
        <v>0</v>
      </c>
      <c r="K44" s="14">
        <f t="shared" si="2"/>
        <v>1</v>
      </c>
      <c r="L44" s="14">
        <f t="shared" si="3"/>
        <v>0</v>
      </c>
      <c r="M44" s="14">
        <f>SUM($J44:$J$90)</f>
        <v>12</v>
      </c>
      <c r="N44" s="14">
        <f>SUM($K44:$K$90)</f>
        <v>24</v>
      </c>
      <c r="O44" s="14">
        <f>SUM($L44:$L$90)</f>
        <v>11</v>
      </c>
      <c r="P44">
        <f t="shared" si="4"/>
        <v>3.5999999999999996</v>
      </c>
      <c r="Q44">
        <f t="shared" si="5"/>
        <v>9.6000000000000014</v>
      </c>
      <c r="R44">
        <f t="shared" si="6"/>
        <v>5.5</v>
      </c>
      <c r="S44">
        <f t="shared" si="15"/>
        <v>-0.5</v>
      </c>
      <c r="T44">
        <f t="shared" si="16"/>
        <v>18.200000000000003</v>
      </c>
      <c r="U44"/>
      <c r="V44" t="b">
        <f>AA44=M44</f>
        <v>1</v>
      </c>
      <c r="W44" t="b">
        <f>AB44=N44</f>
        <v>1</v>
      </c>
      <c r="X44" t="b">
        <f>AC44=O44</f>
        <v>1</v>
      </c>
      <c r="Y44">
        <f t="shared" si="8"/>
        <v>11</v>
      </c>
      <c r="Z44" s="8">
        <f>A44/4</f>
        <v>11.5</v>
      </c>
      <c r="AA44" s="8">
        <f t="shared" si="9"/>
        <v>12</v>
      </c>
      <c r="AB44" s="8">
        <f t="shared" si="0"/>
        <v>24</v>
      </c>
      <c r="AC44" s="8">
        <f t="shared" si="10"/>
        <v>11</v>
      </c>
      <c r="AD44" s="1">
        <f t="shared" si="11"/>
        <v>3.5999999999999996</v>
      </c>
      <c r="AE44" s="1">
        <f t="shared" si="12"/>
        <v>9.6000000000000014</v>
      </c>
      <c r="AF44" s="1">
        <f t="shared" si="13"/>
        <v>5.5</v>
      </c>
      <c r="AG44" s="1">
        <f t="shared" si="24"/>
        <v>-0.5</v>
      </c>
      <c r="AH44" s="1">
        <f t="shared" si="25"/>
        <v>18.200000000000003</v>
      </c>
      <c r="AI44" t="b">
        <f>AH44=T44</f>
        <v>1</v>
      </c>
    </row>
    <row r="45" spans="1:35" x14ac:dyDescent="0.25">
      <c r="A45" s="4">
        <f t="shared" si="18"/>
        <v>45</v>
      </c>
      <c r="B45" s="3" t="str">
        <f t="shared" si="19"/>
        <v>2D</v>
      </c>
      <c r="C45" s="4" t="str">
        <f t="shared" si="20"/>
        <v>101101</v>
      </c>
      <c r="D45" s="4" t="str">
        <f t="shared" si="21"/>
        <v>1011</v>
      </c>
      <c r="E45" s="4" t="str">
        <f t="shared" si="22"/>
        <v>1101</v>
      </c>
      <c r="F45" s="4"/>
      <c r="H45" s="4"/>
      <c r="I45" s="13">
        <f t="shared" si="23"/>
        <v>0.3</v>
      </c>
      <c r="J45" s="14">
        <f t="shared" si="1"/>
        <v>1</v>
      </c>
      <c r="K45" s="14">
        <f t="shared" si="2"/>
        <v>0</v>
      </c>
      <c r="L45" s="14">
        <f t="shared" si="3"/>
        <v>0</v>
      </c>
      <c r="M45" s="14">
        <f>SUM($J45:$J$90)</f>
        <v>12</v>
      </c>
      <c r="N45" s="14">
        <f>SUM($K45:$K$90)</f>
        <v>23</v>
      </c>
      <c r="O45" s="14">
        <f>SUM($L45:$L$90)</f>
        <v>11</v>
      </c>
      <c r="P45">
        <f t="shared" si="4"/>
        <v>3.5999999999999996</v>
      </c>
      <c r="Q45">
        <f t="shared" si="5"/>
        <v>9.2000000000000011</v>
      </c>
      <c r="R45">
        <f t="shared" si="6"/>
        <v>5.5</v>
      </c>
      <c r="S45">
        <f t="shared" si="15"/>
        <v>-0.5</v>
      </c>
      <c r="T45">
        <f t="shared" si="16"/>
        <v>17.8</v>
      </c>
      <c r="U45"/>
      <c r="V45" t="b">
        <f>AA45=M45</f>
        <v>1</v>
      </c>
      <c r="W45" t="b">
        <f>AB45=N45</f>
        <v>1</v>
      </c>
      <c r="X45" t="b">
        <f>AC45=O45</f>
        <v>1</v>
      </c>
      <c r="Y45">
        <f t="shared" si="8"/>
        <v>11</v>
      </c>
      <c r="Z45" s="8">
        <f>A45/4</f>
        <v>11.25</v>
      </c>
      <c r="AA45" s="8">
        <f t="shared" si="9"/>
        <v>12</v>
      </c>
      <c r="AB45" s="8">
        <f t="shared" si="0"/>
        <v>23</v>
      </c>
      <c r="AC45" s="8">
        <f t="shared" si="10"/>
        <v>11</v>
      </c>
      <c r="AD45" s="1">
        <f t="shared" si="11"/>
        <v>3.5999999999999996</v>
      </c>
      <c r="AE45" s="1">
        <f t="shared" si="12"/>
        <v>9.2000000000000011</v>
      </c>
      <c r="AF45" s="1">
        <f t="shared" si="13"/>
        <v>5.5</v>
      </c>
      <c r="AG45" s="1">
        <f t="shared" si="24"/>
        <v>-0.5</v>
      </c>
      <c r="AH45" s="1">
        <f t="shared" si="25"/>
        <v>17.8</v>
      </c>
      <c r="AI45" t="b">
        <f>AH45=T45</f>
        <v>1</v>
      </c>
    </row>
    <row r="46" spans="1:35" x14ac:dyDescent="0.25">
      <c r="A46" s="4">
        <f t="shared" si="18"/>
        <v>44</v>
      </c>
      <c r="B46" s="3" t="str">
        <f t="shared" si="19"/>
        <v>2C</v>
      </c>
      <c r="C46" s="4" t="str">
        <f t="shared" si="20"/>
        <v>101100</v>
      </c>
      <c r="D46" s="4" t="str">
        <f t="shared" si="21"/>
        <v>1011</v>
      </c>
      <c r="E46" s="4" t="str">
        <f t="shared" si="22"/>
        <v>1100</v>
      </c>
      <c r="F46" s="4"/>
      <c r="H46" s="4"/>
      <c r="I46" s="13">
        <f t="shared" si="23"/>
        <v>0.4</v>
      </c>
      <c r="J46" s="14">
        <f t="shared" si="1"/>
        <v>0</v>
      </c>
      <c r="K46" s="14">
        <f t="shared" si="2"/>
        <v>1</v>
      </c>
      <c r="L46" s="14">
        <f t="shared" si="3"/>
        <v>0</v>
      </c>
      <c r="M46" s="14">
        <f>SUM($J46:$J$90)</f>
        <v>11</v>
      </c>
      <c r="N46" s="14">
        <f>SUM($K46:$K$90)</f>
        <v>23</v>
      </c>
      <c r="O46" s="14">
        <f>SUM($L46:$L$90)</f>
        <v>11</v>
      </c>
      <c r="P46">
        <f t="shared" si="4"/>
        <v>3.3</v>
      </c>
      <c r="Q46">
        <f t="shared" si="5"/>
        <v>9.2000000000000011</v>
      </c>
      <c r="R46">
        <f t="shared" si="6"/>
        <v>5.5</v>
      </c>
      <c r="S46">
        <f t="shared" si="15"/>
        <v>-0.5</v>
      </c>
      <c r="T46">
        <f t="shared" si="16"/>
        <v>17.5</v>
      </c>
      <c r="U46"/>
      <c r="V46" t="b">
        <f>AA46=M46</f>
        <v>1</v>
      </c>
      <c r="W46" t="b">
        <f>AB46=N46</f>
        <v>1</v>
      </c>
      <c r="X46" t="b">
        <f>AC46=O46</f>
        <v>1</v>
      </c>
      <c r="Y46">
        <f t="shared" si="8"/>
        <v>11</v>
      </c>
      <c r="Z46" s="8">
        <f>A46/4</f>
        <v>11</v>
      </c>
      <c r="AA46" s="8">
        <f t="shared" si="9"/>
        <v>11</v>
      </c>
      <c r="AB46" s="8">
        <f t="shared" si="0"/>
        <v>23</v>
      </c>
      <c r="AC46" s="8">
        <f t="shared" si="10"/>
        <v>11</v>
      </c>
      <c r="AD46" s="1">
        <f t="shared" si="11"/>
        <v>3.3</v>
      </c>
      <c r="AE46" s="1">
        <f t="shared" si="12"/>
        <v>9.2000000000000011</v>
      </c>
      <c r="AF46" s="1">
        <f t="shared" si="13"/>
        <v>5.5</v>
      </c>
      <c r="AG46" s="1">
        <f t="shared" si="24"/>
        <v>-0.5</v>
      </c>
      <c r="AH46" s="1">
        <f t="shared" si="25"/>
        <v>17.5</v>
      </c>
      <c r="AI46" t="b">
        <f>AH46=T46</f>
        <v>1</v>
      </c>
    </row>
    <row r="47" spans="1:35" x14ac:dyDescent="0.25">
      <c r="A47" s="4">
        <f t="shared" si="18"/>
        <v>43</v>
      </c>
      <c r="B47" s="3" t="str">
        <f t="shared" si="19"/>
        <v>2B</v>
      </c>
      <c r="C47" s="4" t="str">
        <f t="shared" si="20"/>
        <v>101011</v>
      </c>
      <c r="D47" s="4" t="str">
        <f t="shared" si="21"/>
        <v>1010</v>
      </c>
      <c r="E47" s="4" t="str">
        <f t="shared" si="22"/>
        <v>1011</v>
      </c>
      <c r="F47" s="4"/>
      <c r="H47" s="4"/>
      <c r="I47" s="13">
        <f t="shared" si="23"/>
        <v>0.5</v>
      </c>
      <c r="J47" s="14">
        <f t="shared" si="1"/>
        <v>0</v>
      </c>
      <c r="K47" s="14">
        <f t="shared" si="2"/>
        <v>0</v>
      </c>
      <c r="L47" s="14">
        <f t="shared" si="3"/>
        <v>1</v>
      </c>
      <c r="M47" s="14">
        <f>SUM($J47:$J$90)</f>
        <v>11</v>
      </c>
      <c r="N47" s="14">
        <f>SUM($K47:$K$90)</f>
        <v>22</v>
      </c>
      <c r="O47" s="14">
        <f>SUM($L47:$L$90)</f>
        <v>11</v>
      </c>
      <c r="P47">
        <f t="shared" si="4"/>
        <v>3.3</v>
      </c>
      <c r="Q47">
        <f t="shared" si="5"/>
        <v>8.8000000000000007</v>
      </c>
      <c r="R47">
        <f t="shared" si="6"/>
        <v>5.5</v>
      </c>
      <c r="S47">
        <f t="shared" si="15"/>
        <v>-0.5</v>
      </c>
      <c r="T47">
        <f t="shared" si="16"/>
        <v>17.100000000000001</v>
      </c>
      <c r="U47"/>
      <c r="V47" t="b">
        <f>AA47=M47</f>
        <v>1</v>
      </c>
      <c r="W47" t="b">
        <f>AB47=N47</f>
        <v>1</v>
      </c>
      <c r="X47" t="b">
        <f>AC47=O47</f>
        <v>1</v>
      </c>
      <c r="Y47">
        <f t="shared" si="8"/>
        <v>10</v>
      </c>
      <c r="Z47" s="8">
        <f>A47/4</f>
        <v>10.75</v>
      </c>
      <c r="AA47" s="8">
        <f t="shared" si="9"/>
        <v>11</v>
      </c>
      <c r="AB47" s="8">
        <f t="shared" si="0"/>
        <v>22</v>
      </c>
      <c r="AC47" s="8">
        <f t="shared" si="10"/>
        <v>11</v>
      </c>
      <c r="AD47" s="1">
        <f t="shared" si="11"/>
        <v>3.3</v>
      </c>
      <c r="AE47" s="1">
        <f t="shared" si="12"/>
        <v>8.8000000000000007</v>
      </c>
      <c r="AF47" s="1">
        <f t="shared" si="13"/>
        <v>5.5</v>
      </c>
      <c r="AG47" s="1">
        <f t="shared" si="24"/>
        <v>-0.5</v>
      </c>
      <c r="AH47" s="1">
        <f t="shared" si="25"/>
        <v>17.100000000000001</v>
      </c>
      <c r="AI47" t="b">
        <f>AH47=T47</f>
        <v>1</v>
      </c>
    </row>
    <row r="48" spans="1:35" x14ac:dyDescent="0.25">
      <c r="A48" s="4">
        <f t="shared" si="18"/>
        <v>42</v>
      </c>
      <c r="B48" s="3" t="str">
        <f t="shared" si="19"/>
        <v>2A</v>
      </c>
      <c r="C48" s="4" t="str">
        <f t="shared" si="20"/>
        <v>101010</v>
      </c>
      <c r="D48" s="4" t="str">
        <f t="shared" si="21"/>
        <v>1010</v>
      </c>
      <c r="E48" s="4" t="str">
        <f t="shared" si="22"/>
        <v>1010</v>
      </c>
      <c r="F48" s="4"/>
      <c r="H48" s="4"/>
      <c r="I48" s="13">
        <f t="shared" si="23"/>
        <v>0.4</v>
      </c>
      <c r="J48" s="14">
        <f t="shared" si="1"/>
        <v>0</v>
      </c>
      <c r="K48" s="14">
        <f t="shared" si="2"/>
        <v>1</v>
      </c>
      <c r="L48" s="14">
        <f t="shared" si="3"/>
        <v>0</v>
      </c>
      <c r="M48" s="14">
        <f>SUM($J48:$J$90)</f>
        <v>11</v>
      </c>
      <c r="N48" s="14">
        <f>SUM($K48:$K$90)</f>
        <v>22</v>
      </c>
      <c r="O48" s="14">
        <f>SUM($L48:$L$90)</f>
        <v>10</v>
      </c>
      <c r="P48">
        <f t="shared" si="4"/>
        <v>3.3</v>
      </c>
      <c r="Q48">
        <f t="shared" si="5"/>
        <v>8.8000000000000007</v>
      </c>
      <c r="R48">
        <f t="shared" si="6"/>
        <v>5</v>
      </c>
      <c r="S48">
        <f t="shared" si="15"/>
        <v>-0.5</v>
      </c>
      <c r="T48">
        <f t="shared" si="16"/>
        <v>16.600000000000001</v>
      </c>
      <c r="U48"/>
      <c r="V48" t="b">
        <f>AA48=M48</f>
        <v>1</v>
      </c>
      <c r="W48" t="b">
        <f>AB48=N48</f>
        <v>1</v>
      </c>
      <c r="X48" t="b">
        <f>AC48=O48</f>
        <v>1</v>
      </c>
      <c r="Y48">
        <f t="shared" si="8"/>
        <v>10</v>
      </c>
      <c r="Z48" s="8">
        <f>A48/4</f>
        <v>10.5</v>
      </c>
      <c r="AA48" s="8">
        <f t="shared" si="9"/>
        <v>11</v>
      </c>
      <c r="AB48" s="8">
        <f t="shared" si="0"/>
        <v>22</v>
      </c>
      <c r="AC48" s="8">
        <f t="shared" si="10"/>
        <v>10</v>
      </c>
      <c r="AD48" s="1">
        <f t="shared" si="11"/>
        <v>3.3</v>
      </c>
      <c r="AE48" s="1">
        <f t="shared" si="12"/>
        <v>8.8000000000000007</v>
      </c>
      <c r="AF48" s="1">
        <f t="shared" si="13"/>
        <v>5</v>
      </c>
      <c r="AG48" s="1">
        <f t="shared" si="24"/>
        <v>-0.5</v>
      </c>
      <c r="AH48" s="1">
        <f t="shared" si="25"/>
        <v>16.600000000000001</v>
      </c>
      <c r="AI48" t="b">
        <f>AH48=T48</f>
        <v>1</v>
      </c>
    </row>
    <row r="49" spans="1:35" x14ac:dyDescent="0.25">
      <c r="A49" s="4">
        <f t="shared" si="18"/>
        <v>41</v>
      </c>
      <c r="B49" s="3" t="str">
        <f t="shared" si="19"/>
        <v>29</v>
      </c>
      <c r="C49" s="4" t="str">
        <f t="shared" si="20"/>
        <v>101001</v>
      </c>
      <c r="D49" s="4" t="str">
        <f t="shared" si="21"/>
        <v>1010</v>
      </c>
      <c r="E49" s="4" t="str">
        <f t="shared" si="22"/>
        <v>1001</v>
      </c>
      <c r="F49" s="4"/>
      <c r="H49" s="4"/>
      <c r="I49" s="13">
        <f t="shared" si="23"/>
        <v>0.3</v>
      </c>
      <c r="J49" s="14">
        <f t="shared" si="1"/>
        <v>1</v>
      </c>
      <c r="K49" s="14">
        <f t="shared" si="2"/>
        <v>0</v>
      </c>
      <c r="L49" s="14">
        <f t="shared" si="3"/>
        <v>0</v>
      </c>
      <c r="M49" s="14">
        <f>SUM($J49:$J$90)</f>
        <v>11</v>
      </c>
      <c r="N49" s="14">
        <f>SUM($K49:$K$90)</f>
        <v>21</v>
      </c>
      <c r="O49" s="14">
        <f>SUM($L49:$L$90)</f>
        <v>10</v>
      </c>
      <c r="P49">
        <f t="shared" si="4"/>
        <v>3.3</v>
      </c>
      <c r="Q49">
        <f t="shared" si="5"/>
        <v>8.4</v>
      </c>
      <c r="R49">
        <f t="shared" si="6"/>
        <v>5</v>
      </c>
      <c r="S49">
        <f t="shared" si="15"/>
        <v>-0.5</v>
      </c>
      <c r="T49">
        <f t="shared" si="16"/>
        <v>16.2</v>
      </c>
      <c r="U49"/>
      <c r="V49" t="b">
        <f>AA49=M49</f>
        <v>1</v>
      </c>
      <c r="W49" t="b">
        <f>AB49=N49</f>
        <v>1</v>
      </c>
      <c r="X49" t="b">
        <f>AC49=O49</f>
        <v>1</v>
      </c>
      <c r="Y49">
        <f t="shared" si="8"/>
        <v>10</v>
      </c>
      <c r="Z49" s="8">
        <f>A49/4</f>
        <v>10.25</v>
      </c>
      <c r="AA49" s="8">
        <f t="shared" si="9"/>
        <v>11</v>
      </c>
      <c r="AB49" s="8">
        <f t="shared" si="0"/>
        <v>21</v>
      </c>
      <c r="AC49" s="8">
        <f t="shared" si="10"/>
        <v>10</v>
      </c>
      <c r="AD49" s="1">
        <f t="shared" si="11"/>
        <v>3.3</v>
      </c>
      <c r="AE49" s="1">
        <f t="shared" si="12"/>
        <v>8.4</v>
      </c>
      <c r="AF49" s="1">
        <f t="shared" si="13"/>
        <v>5</v>
      </c>
      <c r="AG49" s="1">
        <f t="shared" si="24"/>
        <v>-0.5</v>
      </c>
      <c r="AH49" s="1">
        <f t="shared" si="25"/>
        <v>16.2</v>
      </c>
      <c r="AI49" t="b">
        <f>AH49=T49</f>
        <v>1</v>
      </c>
    </row>
    <row r="50" spans="1:35" x14ac:dyDescent="0.25">
      <c r="A50" s="4">
        <f t="shared" si="18"/>
        <v>40</v>
      </c>
      <c r="B50" s="3" t="str">
        <f t="shared" si="19"/>
        <v>28</v>
      </c>
      <c r="C50" s="4" t="str">
        <f t="shared" si="20"/>
        <v>101000</v>
      </c>
      <c r="D50" s="4" t="str">
        <f t="shared" si="21"/>
        <v>1010</v>
      </c>
      <c r="E50" s="4" t="str">
        <f t="shared" si="22"/>
        <v>1000</v>
      </c>
      <c r="F50" s="4"/>
      <c r="H50" s="4"/>
      <c r="I50" s="13">
        <f t="shared" si="23"/>
        <v>0.4</v>
      </c>
      <c r="J50" s="14">
        <f t="shared" si="1"/>
        <v>0</v>
      </c>
      <c r="K50" s="14">
        <f t="shared" si="2"/>
        <v>1</v>
      </c>
      <c r="L50" s="14">
        <f t="shared" si="3"/>
        <v>0</v>
      </c>
      <c r="M50" s="14">
        <f>SUM($J50:$J$90)</f>
        <v>10</v>
      </c>
      <c r="N50" s="14">
        <f>SUM($K50:$K$90)</f>
        <v>21</v>
      </c>
      <c r="O50" s="14">
        <f>SUM($L50:$L$90)</f>
        <v>10</v>
      </c>
      <c r="P50">
        <f t="shared" si="4"/>
        <v>3</v>
      </c>
      <c r="Q50">
        <f t="shared" si="5"/>
        <v>8.4</v>
      </c>
      <c r="R50">
        <f t="shared" si="6"/>
        <v>5</v>
      </c>
      <c r="S50">
        <f t="shared" si="15"/>
        <v>-0.5</v>
      </c>
      <c r="T50">
        <f t="shared" si="16"/>
        <v>15.899999999999999</v>
      </c>
      <c r="U50"/>
      <c r="V50" t="b">
        <f>AA50=M50</f>
        <v>1</v>
      </c>
      <c r="W50" t="b">
        <f>AB50=N50</f>
        <v>1</v>
      </c>
      <c r="X50" t="b">
        <f>AC50=O50</f>
        <v>1</v>
      </c>
      <c r="Y50">
        <f t="shared" si="8"/>
        <v>10</v>
      </c>
      <c r="Z50" s="8">
        <f>A50/4</f>
        <v>10</v>
      </c>
      <c r="AA50" s="8">
        <f t="shared" si="9"/>
        <v>10</v>
      </c>
      <c r="AB50" s="8">
        <f t="shared" si="0"/>
        <v>21</v>
      </c>
      <c r="AC50" s="8">
        <f t="shared" si="10"/>
        <v>10</v>
      </c>
      <c r="AD50" s="1">
        <f t="shared" si="11"/>
        <v>3</v>
      </c>
      <c r="AE50" s="1">
        <f t="shared" si="12"/>
        <v>8.4</v>
      </c>
      <c r="AF50" s="1">
        <f t="shared" si="13"/>
        <v>5</v>
      </c>
      <c r="AG50" s="1">
        <f t="shared" si="24"/>
        <v>-0.5</v>
      </c>
      <c r="AH50" s="1">
        <f t="shared" si="25"/>
        <v>15.899999999999999</v>
      </c>
      <c r="AI50" t="b">
        <f>AH50=T50</f>
        <v>1</v>
      </c>
    </row>
    <row r="51" spans="1:35" x14ac:dyDescent="0.25">
      <c r="A51" s="4">
        <f t="shared" si="18"/>
        <v>39</v>
      </c>
      <c r="B51" s="3" t="str">
        <f t="shared" si="19"/>
        <v>27</v>
      </c>
      <c r="C51" s="4" t="str">
        <f t="shared" si="20"/>
        <v>100111</v>
      </c>
      <c r="D51" s="4" t="str">
        <f t="shared" si="21"/>
        <v>1001</v>
      </c>
      <c r="E51" s="4" t="str">
        <f t="shared" si="22"/>
        <v>0111</v>
      </c>
      <c r="F51" s="4"/>
      <c r="H51" s="4"/>
      <c r="I51" s="13">
        <f t="shared" si="23"/>
        <v>0.5</v>
      </c>
      <c r="J51" s="14">
        <f t="shared" si="1"/>
        <v>0</v>
      </c>
      <c r="K51" s="14">
        <f t="shared" si="2"/>
        <v>0</v>
      </c>
      <c r="L51" s="14">
        <f t="shared" si="3"/>
        <v>1</v>
      </c>
      <c r="M51" s="14">
        <f>SUM($J51:$J$90)</f>
        <v>10</v>
      </c>
      <c r="N51" s="14">
        <f>SUM($K51:$K$90)</f>
        <v>20</v>
      </c>
      <c r="O51" s="14">
        <f>SUM($L51:$L$90)</f>
        <v>10</v>
      </c>
      <c r="P51">
        <f t="shared" si="4"/>
        <v>3</v>
      </c>
      <c r="Q51">
        <f t="shared" si="5"/>
        <v>8</v>
      </c>
      <c r="R51">
        <f t="shared" si="6"/>
        <v>5</v>
      </c>
      <c r="S51">
        <f t="shared" si="15"/>
        <v>-0.5</v>
      </c>
      <c r="T51">
        <f t="shared" si="16"/>
        <v>15.5</v>
      </c>
      <c r="U51"/>
      <c r="V51" t="b">
        <f>AA51=M51</f>
        <v>1</v>
      </c>
      <c r="W51" t="b">
        <f>AB51=N51</f>
        <v>1</v>
      </c>
      <c r="X51" t="b">
        <f>AC51=O51</f>
        <v>1</v>
      </c>
      <c r="Y51">
        <f t="shared" si="8"/>
        <v>9</v>
      </c>
      <c r="Z51" s="8">
        <f>A51/4</f>
        <v>9.75</v>
      </c>
      <c r="AA51" s="8">
        <f t="shared" si="9"/>
        <v>10</v>
      </c>
      <c r="AB51" s="8">
        <f t="shared" si="0"/>
        <v>20</v>
      </c>
      <c r="AC51" s="8">
        <f t="shared" si="10"/>
        <v>10</v>
      </c>
      <c r="AD51" s="1">
        <f t="shared" si="11"/>
        <v>3</v>
      </c>
      <c r="AE51" s="1">
        <f t="shared" si="12"/>
        <v>8</v>
      </c>
      <c r="AF51" s="1">
        <f t="shared" si="13"/>
        <v>5</v>
      </c>
      <c r="AG51" s="1">
        <f t="shared" si="24"/>
        <v>-0.5</v>
      </c>
      <c r="AH51" s="1">
        <f t="shared" si="25"/>
        <v>15.5</v>
      </c>
      <c r="AI51" t="b">
        <f>AH51=T51</f>
        <v>1</v>
      </c>
    </row>
    <row r="52" spans="1:35" x14ac:dyDescent="0.25">
      <c r="A52" s="4">
        <f t="shared" si="18"/>
        <v>38</v>
      </c>
      <c r="B52" s="3" t="str">
        <f t="shared" si="19"/>
        <v>26</v>
      </c>
      <c r="C52" s="4" t="str">
        <f t="shared" si="20"/>
        <v>100110</v>
      </c>
      <c r="D52" s="4" t="str">
        <f t="shared" si="21"/>
        <v>1001</v>
      </c>
      <c r="E52" s="4" t="str">
        <f t="shared" si="22"/>
        <v>0110</v>
      </c>
      <c r="F52" s="4"/>
      <c r="H52" s="4"/>
      <c r="I52" s="13">
        <f t="shared" si="23"/>
        <v>0.4</v>
      </c>
      <c r="J52" s="14">
        <f t="shared" si="1"/>
        <v>0</v>
      </c>
      <c r="K52" s="14">
        <f t="shared" si="2"/>
        <v>1</v>
      </c>
      <c r="L52" s="14">
        <f t="shared" si="3"/>
        <v>0</v>
      </c>
      <c r="M52" s="14">
        <f>SUM($J52:$J$90)</f>
        <v>10</v>
      </c>
      <c r="N52" s="14">
        <f>SUM($K52:$K$90)</f>
        <v>20</v>
      </c>
      <c r="O52" s="14">
        <f>SUM($L52:$L$90)</f>
        <v>9</v>
      </c>
      <c r="P52">
        <f t="shared" si="4"/>
        <v>3</v>
      </c>
      <c r="Q52">
        <f t="shared" si="5"/>
        <v>8</v>
      </c>
      <c r="R52">
        <f t="shared" si="6"/>
        <v>4.5</v>
      </c>
      <c r="S52">
        <f t="shared" si="15"/>
        <v>-0.5</v>
      </c>
      <c r="T52">
        <f t="shared" si="16"/>
        <v>15</v>
      </c>
      <c r="U52"/>
      <c r="V52" t="b">
        <f>AA52=M52</f>
        <v>1</v>
      </c>
      <c r="W52" t="b">
        <f>AB52=N52</f>
        <v>1</v>
      </c>
      <c r="X52" t="b">
        <f>AC52=O52</f>
        <v>1</v>
      </c>
      <c r="Y52">
        <f t="shared" si="8"/>
        <v>9</v>
      </c>
      <c r="Z52" s="8">
        <f>A52/4</f>
        <v>9.5</v>
      </c>
      <c r="AA52" s="8">
        <f t="shared" si="9"/>
        <v>10</v>
      </c>
      <c r="AB52" s="8">
        <f t="shared" si="0"/>
        <v>20</v>
      </c>
      <c r="AC52" s="8">
        <f t="shared" si="10"/>
        <v>9</v>
      </c>
      <c r="AD52" s="1">
        <f t="shared" si="11"/>
        <v>3</v>
      </c>
      <c r="AE52" s="1">
        <f t="shared" si="12"/>
        <v>8</v>
      </c>
      <c r="AF52" s="1">
        <f t="shared" si="13"/>
        <v>4.5</v>
      </c>
      <c r="AG52" s="1">
        <f t="shared" si="24"/>
        <v>-0.5</v>
      </c>
      <c r="AH52" s="1">
        <f t="shared" si="25"/>
        <v>15</v>
      </c>
      <c r="AI52" t="b">
        <f>AH52=T52</f>
        <v>1</v>
      </c>
    </row>
    <row r="53" spans="1:35" x14ac:dyDescent="0.25">
      <c r="A53" s="4">
        <f t="shared" si="18"/>
        <v>37</v>
      </c>
      <c r="B53" s="3" t="str">
        <f t="shared" si="19"/>
        <v>25</v>
      </c>
      <c r="C53" s="4" t="str">
        <f t="shared" si="20"/>
        <v>100101</v>
      </c>
      <c r="D53" s="4" t="str">
        <f t="shared" si="21"/>
        <v>1001</v>
      </c>
      <c r="E53" s="4" t="str">
        <f t="shared" si="22"/>
        <v>0101</v>
      </c>
      <c r="F53" s="4"/>
      <c r="H53" s="4"/>
      <c r="I53" s="13">
        <f t="shared" si="23"/>
        <v>0.3</v>
      </c>
      <c r="J53" s="14">
        <f t="shared" si="1"/>
        <v>1</v>
      </c>
      <c r="K53" s="14">
        <f t="shared" si="2"/>
        <v>0</v>
      </c>
      <c r="L53" s="14">
        <f t="shared" si="3"/>
        <v>0</v>
      </c>
      <c r="M53" s="14">
        <f>SUM($J53:$J$90)</f>
        <v>10</v>
      </c>
      <c r="N53" s="14">
        <f>SUM($K53:$K$90)</f>
        <v>19</v>
      </c>
      <c r="O53" s="14">
        <f>SUM($L53:$L$90)</f>
        <v>9</v>
      </c>
      <c r="P53">
        <f t="shared" si="4"/>
        <v>3</v>
      </c>
      <c r="Q53">
        <f t="shared" si="5"/>
        <v>7.6000000000000005</v>
      </c>
      <c r="R53">
        <f t="shared" si="6"/>
        <v>4.5</v>
      </c>
      <c r="S53">
        <f t="shared" si="15"/>
        <v>-0.5</v>
      </c>
      <c r="T53">
        <f t="shared" si="16"/>
        <v>14.600000000000001</v>
      </c>
      <c r="U53"/>
      <c r="V53" t="b">
        <f>AA53=M53</f>
        <v>1</v>
      </c>
      <c r="W53" t="b">
        <f>AB53=N53</f>
        <v>1</v>
      </c>
      <c r="X53" t="b">
        <f>AC53=O53</f>
        <v>1</v>
      </c>
      <c r="Y53">
        <f t="shared" si="8"/>
        <v>9</v>
      </c>
      <c r="Z53" s="8">
        <f>A53/4</f>
        <v>9.25</v>
      </c>
      <c r="AA53" s="8">
        <f t="shared" si="9"/>
        <v>10</v>
      </c>
      <c r="AB53" s="8">
        <f t="shared" si="0"/>
        <v>19</v>
      </c>
      <c r="AC53" s="8">
        <f t="shared" si="10"/>
        <v>9</v>
      </c>
      <c r="AD53" s="1">
        <f t="shared" si="11"/>
        <v>3</v>
      </c>
      <c r="AE53" s="1">
        <f t="shared" si="12"/>
        <v>7.6000000000000005</v>
      </c>
      <c r="AF53" s="1">
        <f t="shared" si="13"/>
        <v>4.5</v>
      </c>
      <c r="AG53" s="1">
        <f t="shared" si="24"/>
        <v>-0.5</v>
      </c>
      <c r="AH53" s="1">
        <f t="shared" si="25"/>
        <v>14.600000000000001</v>
      </c>
      <c r="AI53" t="b">
        <f>AH53=T53</f>
        <v>1</v>
      </c>
    </row>
    <row r="54" spans="1:35" x14ac:dyDescent="0.25">
      <c r="A54" s="4">
        <f t="shared" si="18"/>
        <v>36</v>
      </c>
      <c r="B54" s="3" t="str">
        <f t="shared" si="19"/>
        <v>24</v>
      </c>
      <c r="C54" s="4" t="str">
        <f t="shared" si="20"/>
        <v>100100</v>
      </c>
      <c r="D54" s="4" t="str">
        <f t="shared" si="21"/>
        <v>1001</v>
      </c>
      <c r="E54" s="4" t="str">
        <f t="shared" si="22"/>
        <v>0100</v>
      </c>
      <c r="F54" s="4"/>
      <c r="H54" s="4"/>
      <c r="I54" s="13">
        <f t="shared" si="23"/>
        <v>0.4</v>
      </c>
      <c r="J54" s="14">
        <f t="shared" si="1"/>
        <v>0</v>
      </c>
      <c r="K54" s="14">
        <f t="shared" si="2"/>
        <v>1</v>
      </c>
      <c r="L54" s="14">
        <f t="shared" si="3"/>
        <v>0</v>
      </c>
      <c r="M54" s="14">
        <f>SUM($J54:$J$90)</f>
        <v>9</v>
      </c>
      <c r="N54" s="14">
        <f>SUM($K54:$K$90)</f>
        <v>19</v>
      </c>
      <c r="O54" s="14">
        <f>SUM($L54:$L$90)</f>
        <v>9</v>
      </c>
      <c r="P54">
        <f t="shared" si="4"/>
        <v>2.6999999999999997</v>
      </c>
      <c r="Q54">
        <f t="shared" si="5"/>
        <v>7.6000000000000005</v>
      </c>
      <c r="R54">
        <f t="shared" si="6"/>
        <v>4.5</v>
      </c>
      <c r="S54">
        <f t="shared" si="15"/>
        <v>-0.5</v>
      </c>
      <c r="T54">
        <f t="shared" si="16"/>
        <v>14.3</v>
      </c>
      <c r="U54"/>
      <c r="V54" t="b">
        <f>AA54=M54</f>
        <v>1</v>
      </c>
      <c r="W54" t="b">
        <f>AB54=N54</f>
        <v>1</v>
      </c>
      <c r="X54" t="b">
        <f>AC54=O54</f>
        <v>1</v>
      </c>
      <c r="Y54">
        <f t="shared" si="8"/>
        <v>9</v>
      </c>
      <c r="Z54" s="8">
        <f>A54/4</f>
        <v>9</v>
      </c>
      <c r="AA54" s="8">
        <f t="shared" si="9"/>
        <v>9</v>
      </c>
      <c r="AB54" s="8">
        <f t="shared" si="0"/>
        <v>19</v>
      </c>
      <c r="AC54" s="8">
        <f t="shared" si="10"/>
        <v>9</v>
      </c>
      <c r="AD54" s="1">
        <f t="shared" si="11"/>
        <v>2.6999999999999997</v>
      </c>
      <c r="AE54" s="1">
        <f t="shared" si="12"/>
        <v>7.6000000000000005</v>
      </c>
      <c r="AF54" s="1">
        <f t="shared" si="13"/>
        <v>4.5</v>
      </c>
      <c r="AG54" s="1">
        <f t="shared" si="24"/>
        <v>-0.5</v>
      </c>
      <c r="AH54" s="1">
        <f t="shared" si="25"/>
        <v>14.3</v>
      </c>
      <c r="AI54" t="b">
        <f>AH54=T54</f>
        <v>1</v>
      </c>
    </row>
    <row r="55" spans="1:35" x14ac:dyDescent="0.25">
      <c r="A55" s="4">
        <f t="shared" si="18"/>
        <v>35</v>
      </c>
      <c r="B55" s="3" t="str">
        <f t="shared" si="19"/>
        <v>23</v>
      </c>
      <c r="C55" s="4" t="str">
        <f t="shared" si="20"/>
        <v>100011</v>
      </c>
      <c r="D55" s="4" t="str">
        <f t="shared" si="21"/>
        <v>1000</v>
      </c>
      <c r="E55" s="4" t="str">
        <f t="shared" si="22"/>
        <v>0011</v>
      </c>
      <c r="F55" s="4"/>
      <c r="H55" s="4"/>
      <c r="I55" s="13">
        <f t="shared" si="23"/>
        <v>0.5</v>
      </c>
      <c r="J55" s="14">
        <f t="shared" si="1"/>
        <v>0</v>
      </c>
      <c r="K55" s="14">
        <f t="shared" si="2"/>
        <v>0</v>
      </c>
      <c r="L55" s="14">
        <f t="shared" si="3"/>
        <v>1</v>
      </c>
      <c r="M55" s="14">
        <f>SUM($J55:$J$90)</f>
        <v>9</v>
      </c>
      <c r="N55" s="14">
        <f>SUM($K55:$K$90)</f>
        <v>18</v>
      </c>
      <c r="O55" s="14">
        <f>SUM($L55:$L$90)</f>
        <v>9</v>
      </c>
      <c r="P55">
        <f t="shared" si="4"/>
        <v>2.6999999999999997</v>
      </c>
      <c r="Q55">
        <f t="shared" si="5"/>
        <v>7.2</v>
      </c>
      <c r="R55">
        <f t="shared" si="6"/>
        <v>4.5</v>
      </c>
      <c r="S55">
        <f t="shared" si="15"/>
        <v>-0.5</v>
      </c>
      <c r="T55">
        <f t="shared" si="16"/>
        <v>13.9</v>
      </c>
      <c r="U55"/>
      <c r="V55" t="b">
        <f>AA55=M55</f>
        <v>1</v>
      </c>
      <c r="W55" t="b">
        <f>AB55=N55</f>
        <v>1</v>
      </c>
      <c r="X55" t="b">
        <f>AC55=O55</f>
        <v>1</v>
      </c>
      <c r="Y55">
        <f t="shared" si="8"/>
        <v>8</v>
      </c>
      <c r="Z55" s="8">
        <f>A55/4</f>
        <v>8.75</v>
      </c>
      <c r="AA55" s="8">
        <f t="shared" si="9"/>
        <v>9</v>
      </c>
      <c r="AB55" s="8">
        <f t="shared" si="0"/>
        <v>18</v>
      </c>
      <c r="AC55" s="8">
        <f t="shared" si="10"/>
        <v>9</v>
      </c>
      <c r="AD55" s="1">
        <f t="shared" si="11"/>
        <v>2.6999999999999997</v>
      </c>
      <c r="AE55" s="1">
        <f t="shared" si="12"/>
        <v>7.2</v>
      </c>
      <c r="AF55" s="1">
        <f t="shared" si="13"/>
        <v>4.5</v>
      </c>
      <c r="AG55" s="1">
        <f t="shared" si="24"/>
        <v>-0.5</v>
      </c>
      <c r="AH55" s="1">
        <f t="shared" si="25"/>
        <v>13.9</v>
      </c>
      <c r="AI55" t="b">
        <f>AH55=T55</f>
        <v>1</v>
      </c>
    </row>
    <row r="56" spans="1:35" x14ac:dyDescent="0.25">
      <c r="A56" s="4">
        <f t="shared" si="18"/>
        <v>34</v>
      </c>
      <c r="B56" s="3" t="str">
        <f t="shared" si="19"/>
        <v>22</v>
      </c>
      <c r="C56" s="4" t="str">
        <f t="shared" si="20"/>
        <v>100010</v>
      </c>
      <c r="D56" s="4" t="str">
        <f t="shared" si="21"/>
        <v>1000</v>
      </c>
      <c r="E56" s="4" t="str">
        <f t="shared" si="22"/>
        <v>0010</v>
      </c>
      <c r="F56" s="4"/>
      <c r="H56" s="4"/>
      <c r="I56" s="13">
        <f t="shared" si="23"/>
        <v>0.4</v>
      </c>
      <c r="J56" s="14">
        <f t="shared" si="1"/>
        <v>0</v>
      </c>
      <c r="K56" s="14">
        <f t="shared" si="2"/>
        <v>1</v>
      </c>
      <c r="L56" s="14">
        <f t="shared" si="3"/>
        <v>0</v>
      </c>
      <c r="M56" s="14">
        <f>SUM($J56:$J$90)</f>
        <v>9</v>
      </c>
      <c r="N56" s="14">
        <f>SUM($K56:$K$90)</f>
        <v>18</v>
      </c>
      <c r="O56" s="14">
        <f>SUM($L56:$L$90)</f>
        <v>8</v>
      </c>
      <c r="P56">
        <f t="shared" si="4"/>
        <v>2.6999999999999997</v>
      </c>
      <c r="Q56">
        <f t="shared" si="5"/>
        <v>7.2</v>
      </c>
      <c r="R56">
        <f t="shared" si="6"/>
        <v>4</v>
      </c>
      <c r="S56">
        <f t="shared" si="15"/>
        <v>-0.5</v>
      </c>
      <c r="T56">
        <f t="shared" si="16"/>
        <v>13.4</v>
      </c>
      <c r="U56"/>
      <c r="V56" t="b">
        <f>AA56=M56</f>
        <v>1</v>
      </c>
      <c r="W56" t="b">
        <f>AB56=N56</f>
        <v>1</v>
      </c>
      <c r="X56" t="b">
        <f>AC56=O56</f>
        <v>1</v>
      </c>
      <c r="Y56">
        <f t="shared" si="8"/>
        <v>8</v>
      </c>
      <c r="Z56" s="8">
        <f>A56/4</f>
        <v>8.5</v>
      </c>
      <c r="AA56" s="8">
        <f t="shared" si="9"/>
        <v>9</v>
      </c>
      <c r="AB56" s="8">
        <f t="shared" si="0"/>
        <v>18</v>
      </c>
      <c r="AC56" s="8">
        <f t="shared" si="10"/>
        <v>8</v>
      </c>
      <c r="AD56" s="1">
        <f t="shared" si="11"/>
        <v>2.6999999999999997</v>
      </c>
      <c r="AE56" s="1">
        <f t="shared" si="12"/>
        <v>7.2</v>
      </c>
      <c r="AF56" s="1">
        <f t="shared" si="13"/>
        <v>4</v>
      </c>
      <c r="AG56" s="1">
        <f t="shared" si="24"/>
        <v>-0.5</v>
      </c>
      <c r="AH56" s="1">
        <f t="shared" si="25"/>
        <v>13.4</v>
      </c>
      <c r="AI56" t="b">
        <f>AH56=T56</f>
        <v>1</v>
      </c>
    </row>
    <row r="57" spans="1:35" x14ac:dyDescent="0.25">
      <c r="A57" s="4">
        <f t="shared" si="18"/>
        <v>33</v>
      </c>
      <c r="B57" s="3" t="str">
        <f t="shared" si="19"/>
        <v>21</v>
      </c>
      <c r="C57" s="4" t="str">
        <f t="shared" si="20"/>
        <v>100001</v>
      </c>
      <c r="D57" s="4" t="str">
        <f t="shared" si="21"/>
        <v>1000</v>
      </c>
      <c r="E57" s="4" t="str">
        <f t="shared" si="22"/>
        <v>0001</v>
      </c>
      <c r="F57" s="4"/>
      <c r="H57" s="4"/>
      <c r="I57" s="13">
        <f t="shared" si="23"/>
        <v>0.3</v>
      </c>
      <c r="J57" s="14">
        <f t="shared" si="1"/>
        <v>1</v>
      </c>
      <c r="K57" s="14">
        <f t="shared" si="2"/>
        <v>0</v>
      </c>
      <c r="L57" s="14">
        <f t="shared" si="3"/>
        <v>0</v>
      </c>
      <c r="M57" s="14">
        <f>SUM($J57:$J$90)</f>
        <v>9</v>
      </c>
      <c r="N57" s="14">
        <f>SUM($K57:$K$90)</f>
        <v>17</v>
      </c>
      <c r="O57" s="14">
        <f>SUM($L57:$L$90)</f>
        <v>8</v>
      </c>
      <c r="P57">
        <f t="shared" si="4"/>
        <v>2.6999999999999997</v>
      </c>
      <c r="Q57">
        <f t="shared" si="5"/>
        <v>6.8000000000000007</v>
      </c>
      <c r="R57">
        <f t="shared" si="6"/>
        <v>4</v>
      </c>
      <c r="S57">
        <f t="shared" si="15"/>
        <v>-0.5</v>
      </c>
      <c r="T57">
        <f t="shared" si="16"/>
        <v>13</v>
      </c>
      <c r="U57"/>
      <c r="V57" t="b">
        <f>AA57=M57</f>
        <v>1</v>
      </c>
      <c r="W57" t="b">
        <f>AB57=N57</f>
        <v>1</v>
      </c>
      <c r="X57" t="b">
        <f>AC57=O57</f>
        <v>1</v>
      </c>
      <c r="Y57">
        <f t="shared" si="8"/>
        <v>8</v>
      </c>
      <c r="Z57" s="8">
        <f>A57/4</f>
        <v>8.25</v>
      </c>
      <c r="AA57" s="8">
        <f t="shared" si="9"/>
        <v>9</v>
      </c>
      <c r="AB57" s="8">
        <f t="shared" si="0"/>
        <v>17</v>
      </c>
      <c r="AC57" s="8">
        <f t="shared" si="10"/>
        <v>8</v>
      </c>
      <c r="AD57" s="1">
        <f t="shared" si="11"/>
        <v>2.6999999999999997</v>
      </c>
      <c r="AE57" s="1">
        <f t="shared" si="12"/>
        <v>6.8000000000000007</v>
      </c>
      <c r="AF57" s="1">
        <f t="shared" si="13"/>
        <v>4</v>
      </c>
      <c r="AG57" s="1">
        <f t="shared" si="24"/>
        <v>-0.5</v>
      </c>
      <c r="AH57" s="1">
        <f t="shared" si="25"/>
        <v>13</v>
      </c>
      <c r="AI57" t="b">
        <f>AH57=T57</f>
        <v>1</v>
      </c>
    </row>
    <row r="58" spans="1:35" x14ac:dyDescent="0.25">
      <c r="A58" s="4">
        <f t="shared" si="18"/>
        <v>32</v>
      </c>
      <c r="B58" s="3" t="str">
        <f t="shared" si="19"/>
        <v>20</v>
      </c>
      <c r="C58" s="4" t="str">
        <f t="shared" si="20"/>
        <v>100000</v>
      </c>
      <c r="D58" s="4" t="str">
        <f t="shared" si="21"/>
        <v>1000</v>
      </c>
      <c r="E58" s="4" t="str">
        <f t="shared" si="22"/>
        <v>0000</v>
      </c>
      <c r="F58" s="4"/>
      <c r="H58" s="4"/>
      <c r="I58" s="13">
        <f t="shared" si="23"/>
        <v>0.4</v>
      </c>
      <c r="J58" s="14">
        <f t="shared" si="1"/>
        <v>0</v>
      </c>
      <c r="K58" s="14">
        <f t="shared" si="2"/>
        <v>1</v>
      </c>
      <c r="L58" s="14">
        <f t="shared" si="3"/>
        <v>0</v>
      </c>
      <c r="M58" s="14">
        <f>SUM($J58:$J$90)</f>
        <v>8</v>
      </c>
      <c r="N58" s="14">
        <f>SUM($K58:$K$90)</f>
        <v>17</v>
      </c>
      <c r="O58" s="14">
        <f>SUM($L58:$L$90)</f>
        <v>8</v>
      </c>
      <c r="P58">
        <f t="shared" si="4"/>
        <v>2.4</v>
      </c>
      <c r="Q58">
        <f t="shared" si="5"/>
        <v>6.8000000000000007</v>
      </c>
      <c r="R58">
        <f t="shared" si="6"/>
        <v>4</v>
      </c>
      <c r="S58">
        <f t="shared" si="15"/>
        <v>-0.5</v>
      </c>
      <c r="T58">
        <f t="shared" si="16"/>
        <v>12.700000000000001</v>
      </c>
      <c r="U58"/>
      <c r="V58" t="b">
        <f>AA58=M58</f>
        <v>1</v>
      </c>
      <c r="W58" t="b">
        <f>AB58=N58</f>
        <v>1</v>
      </c>
      <c r="X58" t="b">
        <f>AC58=O58</f>
        <v>1</v>
      </c>
      <c r="Y58">
        <f t="shared" si="8"/>
        <v>8</v>
      </c>
      <c r="Z58" s="8">
        <f>A58/4</f>
        <v>8</v>
      </c>
      <c r="AA58" s="8">
        <f t="shared" si="9"/>
        <v>8</v>
      </c>
      <c r="AB58" s="8">
        <f t="shared" si="0"/>
        <v>17</v>
      </c>
      <c r="AC58" s="8">
        <f t="shared" si="10"/>
        <v>8</v>
      </c>
      <c r="AD58" s="1">
        <f t="shared" si="11"/>
        <v>2.4</v>
      </c>
      <c r="AE58" s="1">
        <f t="shared" si="12"/>
        <v>6.8000000000000007</v>
      </c>
      <c r="AF58" s="1">
        <f t="shared" si="13"/>
        <v>4</v>
      </c>
      <c r="AG58" s="1">
        <f t="shared" si="24"/>
        <v>-0.5</v>
      </c>
      <c r="AH58" s="1">
        <f t="shared" si="25"/>
        <v>12.700000000000001</v>
      </c>
      <c r="AI58" t="b">
        <f>AH58=T58</f>
        <v>1</v>
      </c>
    </row>
    <row r="59" spans="1:35" x14ac:dyDescent="0.25">
      <c r="A59" s="4">
        <f t="shared" si="18"/>
        <v>31</v>
      </c>
      <c r="B59" s="3" t="str">
        <f t="shared" si="19"/>
        <v>1F</v>
      </c>
      <c r="C59" s="4" t="str">
        <f t="shared" si="20"/>
        <v>11111</v>
      </c>
      <c r="D59" s="4" t="str">
        <f t="shared" si="21"/>
        <v>1111</v>
      </c>
      <c r="E59" s="4" t="str">
        <f t="shared" si="22"/>
        <v>1111</v>
      </c>
      <c r="F59" s="4"/>
      <c r="H59" s="4"/>
      <c r="I59" s="13">
        <f t="shared" si="23"/>
        <v>0.5</v>
      </c>
      <c r="J59" s="14">
        <f t="shared" si="1"/>
        <v>0</v>
      </c>
      <c r="K59" s="14">
        <f t="shared" si="2"/>
        <v>0</v>
      </c>
      <c r="L59" s="14">
        <f t="shared" si="3"/>
        <v>1</v>
      </c>
      <c r="M59" s="14">
        <f>SUM($J59:$J$90)</f>
        <v>8</v>
      </c>
      <c r="N59" s="14">
        <f>SUM($K59:$K$90)</f>
        <v>16</v>
      </c>
      <c r="O59" s="14">
        <f>SUM($L59:$L$90)</f>
        <v>8</v>
      </c>
      <c r="P59">
        <f t="shared" si="4"/>
        <v>2.4</v>
      </c>
      <c r="Q59">
        <f t="shared" si="5"/>
        <v>6.4</v>
      </c>
      <c r="R59">
        <f t="shared" si="6"/>
        <v>4</v>
      </c>
      <c r="S59">
        <f t="shared" si="15"/>
        <v>-0.5</v>
      </c>
      <c r="T59">
        <f t="shared" si="16"/>
        <v>12.3</v>
      </c>
      <c r="U59"/>
      <c r="V59" t="b">
        <f>AA59=M59</f>
        <v>1</v>
      </c>
      <c r="W59" t="b">
        <f>AB59=N59</f>
        <v>1</v>
      </c>
      <c r="X59" t="b">
        <f>AC59=O59</f>
        <v>1</v>
      </c>
      <c r="Y59">
        <f t="shared" si="8"/>
        <v>7</v>
      </c>
      <c r="Z59" s="8">
        <f>A59/4</f>
        <v>7.75</v>
      </c>
      <c r="AA59" s="8">
        <f t="shared" si="9"/>
        <v>8</v>
      </c>
      <c r="AB59" s="8">
        <f t="shared" si="0"/>
        <v>16</v>
      </c>
      <c r="AC59" s="8">
        <f t="shared" si="10"/>
        <v>8</v>
      </c>
      <c r="AD59" s="1">
        <f t="shared" si="11"/>
        <v>2.4</v>
      </c>
      <c r="AE59" s="1">
        <f t="shared" si="12"/>
        <v>6.4</v>
      </c>
      <c r="AF59" s="1">
        <f t="shared" si="13"/>
        <v>4</v>
      </c>
      <c r="AG59" s="1">
        <f t="shared" si="24"/>
        <v>-0.5</v>
      </c>
      <c r="AH59" s="1">
        <f t="shared" si="25"/>
        <v>12.3</v>
      </c>
      <c r="AI59" t="b">
        <f>AH59=T59</f>
        <v>1</v>
      </c>
    </row>
    <row r="60" spans="1:35" x14ac:dyDescent="0.25">
      <c r="A60" s="4">
        <f t="shared" si="18"/>
        <v>30</v>
      </c>
      <c r="B60" s="3" t="str">
        <f t="shared" si="19"/>
        <v>1E</v>
      </c>
      <c r="C60" s="4" t="str">
        <f t="shared" si="20"/>
        <v>11110</v>
      </c>
      <c r="D60" s="4" t="str">
        <f t="shared" si="21"/>
        <v>1111</v>
      </c>
      <c r="E60" s="4" t="str">
        <f t="shared" si="22"/>
        <v>1110</v>
      </c>
      <c r="F60" s="4"/>
      <c r="H60" s="4"/>
      <c r="I60" s="13">
        <f t="shared" si="23"/>
        <v>0.4</v>
      </c>
      <c r="J60" s="14">
        <f t="shared" si="1"/>
        <v>0</v>
      </c>
      <c r="K60" s="14">
        <f t="shared" si="2"/>
        <v>1</v>
      </c>
      <c r="L60" s="14">
        <f t="shared" si="3"/>
        <v>0</v>
      </c>
      <c r="M60" s="14">
        <f>SUM($J60:$J$90)</f>
        <v>8</v>
      </c>
      <c r="N60" s="14">
        <f>SUM($K60:$K$90)</f>
        <v>16</v>
      </c>
      <c r="O60" s="14">
        <f>SUM($L60:$L$90)</f>
        <v>7</v>
      </c>
      <c r="P60">
        <f t="shared" si="4"/>
        <v>2.4</v>
      </c>
      <c r="Q60">
        <f t="shared" si="5"/>
        <v>6.4</v>
      </c>
      <c r="R60">
        <f t="shared" si="6"/>
        <v>3.5</v>
      </c>
      <c r="S60">
        <f t="shared" si="15"/>
        <v>-0.5</v>
      </c>
      <c r="T60">
        <f t="shared" si="16"/>
        <v>11.8</v>
      </c>
      <c r="U60"/>
      <c r="V60" t="b">
        <f>AA60=M60</f>
        <v>1</v>
      </c>
      <c r="W60" t="b">
        <f>AB60=N60</f>
        <v>1</v>
      </c>
      <c r="X60" t="b">
        <f>AC60=O60</f>
        <v>1</v>
      </c>
      <c r="Y60">
        <f t="shared" si="8"/>
        <v>7</v>
      </c>
      <c r="Z60" s="8">
        <f>A60/4</f>
        <v>7.5</v>
      </c>
      <c r="AA60" s="8">
        <f t="shared" si="9"/>
        <v>8</v>
      </c>
      <c r="AB60" s="8">
        <f t="shared" si="0"/>
        <v>16</v>
      </c>
      <c r="AC60" s="8">
        <f t="shared" si="10"/>
        <v>7</v>
      </c>
      <c r="AD60" s="1">
        <f t="shared" si="11"/>
        <v>2.4</v>
      </c>
      <c r="AE60" s="1">
        <f t="shared" si="12"/>
        <v>6.4</v>
      </c>
      <c r="AF60" s="1">
        <f t="shared" si="13"/>
        <v>3.5</v>
      </c>
      <c r="AG60" s="1">
        <f t="shared" si="24"/>
        <v>-0.5</v>
      </c>
      <c r="AH60" s="1">
        <f t="shared" si="25"/>
        <v>11.8</v>
      </c>
      <c r="AI60" t="b">
        <f>AH60=T60</f>
        <v>1</v>
      </c>
    </row>
    <row r="61" spans="1:35" x14ac:dyDescent="0.25">
      <c r="A61" s="4">
        <f t="shared" si="18"/>
        <v>29</v>
      </c>
      <c r="B61" s="3" t="str">
        <f t="shared" si="19"/>
        <v>1D</v>
      </c>
      <c r="C61" s="4" t="str">
        <f t="shared" si="20"/>
        <v>11101</v>
      </c>
      <c r="D61" s="4" t="str">
        <f t="shared" si="21"/>
        <v>1110</v>
      </c>
      <c r="E61" s="4" t="str">
        <f t="shared" si="22"/>
        <v>1101</v>
      </c>
      <c r="F61" s="4"/>
      <c r="H61" s="4"/>
      <c r="I61" s="13">
        <f t="shared" si="23"/>
        <v>0.3</v>
      </c>
      <c r="J61" s="14">
        <f t="shared" si="1"/>
        <v>1</v>
      </c>
      <c r="K61" s="14">
        <f t="shared" si="2"/>
        <v>0</v>
      </c>
      <c r="L61" s="14">
        <f t="shared" si="3"/>
        <v>0</v>
      </c>
      <c r="M61" s="14">
        <f>SUM($J61:$J$90)</f>
        <v>8</v>
      </c>
      <c r="N61" s="14">
        <f>SUM($K61:$K$90)</f>
        <v>15</v>
      </c>
      <c r="O61" s="14">
        <f>SUM($L61:$L$90)</f>
        <v>7</v>
      </c>
      <c r="P61">
        <f t="shared" si="4"/>
        <v>2.4</v>
      </c>
      <c r="Q61">
        <f t="shared" si="5"/>
        <v>6</v>
      </c>
      <c r="R61">
        <f t="shared" si="6"/>
        <v>3.5</v>
      </c>
      <c r="S61">
        <f t="shared" si="15"/>
        <v>-0.5</v>
      </c>
      <c r="T61">
        <f t="shared" si="16"/>
        <v>11.4</v>
      </c>
      <c r="U61"/>
      <c r="V61" t="b">
        <f>AA61=M61</f>
        <v>1</v>
      </c>
      <c r="W61" t="b">
        <f>AB61=N61</f>
        <v>1</v>
      </c>
      <c r="X61" t="b">
        <f>AC61=O61</f>
        <v>1</v>
      </c>
      <c r="Y61">
        <f t="shared" si="8"/>
        <v>7</v>
      </c>
      <c r="Z61" s="8">
        <f>A61/4</f>
        <v>7.25</v>
      </c>
      <c r="AA61" s="8">
        <f t="shared" si="9"/>
        <v>8</v>
      </c>
      <c r="AB61" s="8">
        <f t="shared" si="0"/>
        <v>15</v>
      </c>
      <c r="AC61" s="8">
        <f t="shared" si="10"/>
        <v>7</v>
      </c>
      <c r="AD61" s="1">
        <f t="shared" si="11"/>
        <v>2.4</v>
      </c>
      <c r="AE61" s="1">
        <f t="shared" si="12"/>
        <v>6</v>
      </c>
      <c r="AF61" s="1">
        <f t="shared" si="13"/>
        <v>3.5</v>
      </c>
      <c r="AG61" s="1">
        <f t="shared" si="24"/>
        <v>-0.5</v>
      </c>
      <c r="AH61" s="1">
        <f t="shared" si="25"/>
        <v>11.4</v>
      </c>
      <c r="AI61" t="b">
        <f>AH61=T61</f>
        <v>1</v>
      </c>
    </row>
    <row r="62" spans="1:35" x14ac:dyDescent="0.25">
      <c r="A62" s="4">
        <f t="shared" si="18"/>
        <v>28</v>
      </c>
      <c r="B62" s="3" t="str">
        <f t="shared" si="19"/>
        <v>1C</v>
      </c>
      <c r="C62" s="4" t="str">
        <f t="shared" si="20"/>
        <v>11100</v>
      </c>
      <c r="D62" s="4" t="str">
        <f t="shared" si="21"/>
        <v>1110</v>
      </c>
      <c r="E62" s="4" t="str">
        <f t="shared" si="22"/>
        <v>1100</v>
      </c>
      <c r="F62" s="4"/>
      <c r="H62" s="4"/>
      <c r="I62" s="13">
        <f t="shared" si="23"/>
        <v>0.4</v>
      </c>
      <c r="J62" s="14">
        <f t="shared" si="1"/>
        <v>0</v>
      </c>
      <c r="K62" s="14">
        <f t="shared" si="2"/>
        <v>1</v>
      </c>
      <c r="L62" s="14">
        <f t="shared" si="3"/>
        <v>0</v>
      </c>
      <c r="M62" s="14">
        <f>SUM($J62:$J$90)</f>
        <v>7</v>
      </c>
      <c r="N62" s="14">
        <f>SUM($K62:$K$90)</f>
        <v>15</v>
      </c>
      <c r="O62" s="14">
        <f>SUM($L62:$L$90)</f>
        <v>7</v>
      </c>
      <c r="P62">
        <f t="shared" si="4"/>
        <v>2.1</v>
      </c>
      <c r="Q62">
        <f t="shared" si="5"/>
        <v>6</v>
      </c>
      <c r="R62">
        <f t="shared" si="6"/>
        <v>3.5</v>
      </c>
      <c r="S62">
        <f t="shared" si="15"/>
        <v>-0.5</v>
      </c>
      <c r="T62">
        <f t="shared" si="16"/>
        <v>11.1</v>
      </c>
      <c r="U62"/>
      <c r="V62" t="b">
        <f>AA62=M62</f>
        <v>1</v>
      </c>
      <c r="W62" t="b">
        <f>AB62=N62</f>
        <v>1</v>
      </c>
      <c r="X62" t="b">
        <f>AC62=O62</f>
        <v>1</v>
      </c>
      <c r="Y62">
        <f t="shared" si="8"/>
        <v>7</v>
      </c>
      <c r="Z62" s="8">
        <f>A62/4</f>
        <v>7</v>
      </c>
      <c r="AA62" s="8">
        <f t="shared" si="9"/>
        <v>7</v>
      </c>
      <c r="AB62" s="8">
        <f t="shared" si="0"/>
        <v>15</v>
      </c>
      <c r="AC62" s="8">
        <f t="shared" si="10"/>
        <v>7</v>
      </c>
      <c r="AD62" s="1">
        <f t="shared" si="11"/>
        <v>2.1</v>
      </c>
      <c r="AE62" s="1">
        <f t="shared" si="12"/>
        <v>6</v>
      </c>
      <c r="AF62" s="1">
        <f t="shared" si="13"/>
        <v>3.5</v>
      </c>
      <c r="AG62" s="1">
        <f t="shared" si="24"/>
        <v>-0.5</v>
      </c>
      <c r="AH62" s="1">
        <f t="shared" si="25"/>
        <v>11.1</v>
      </c>
      <c r="AI62" t="b">
        <f>AH62=T62</f>
        <v>1</v>
      </c>
    </row>
    <row r="63" spans="1:35" x14ac:dyDescent="0.25">
      <c r="A63" s="4">
        <f t="shared" si="18"/>
        <v>27</v>
      </c>
      <c r="B63" s="3" t="str">
        <f t="shared" si="19"/>
        <v>1B</v>
      </c>
      <c r="C63" s="4" t="str">
        <f t="shared" si="20"/>
        <v>11011</v>
      </c>
      <c r="D63" s="4" t="str">
        <f t="shared" si="21"/>
        <v>1101</v>
      </c>
      <c r="E63" s="4" t="str">
        <f t="shared" si="22"/>
        <v>1011</v>
      </c>
      <c r="F63" s="4"/>
      <c r="H63" s="4"/>
      <c r="I63" s="13">
        <f t="shared" si="23"/>
        <v>0.5</v>
      </c>
      <c r="J63" s="14">
        <f t="shared" si="1"/>
        <v>0</v>
      </c>
      <c r="K63" s="14">
        <f t="shared" si="2"/>
        <v>0</v>
      </c>
      <c r="L63" s="14">
        <f t="shared" si="3"/>
        <v>1</v>
      </c>
      <c r="M63" s="14">
        <f>SUM($J63:$J$90)</f>
        <v>7</v>
      </c>
      <c r="N63" s="14">
        <f>SUM($K63:$K$90)</f>
        <v>14</v>
      </c>
      <c r="O63" s="14">
        <f>SUM($L63:$L$90)</f>
        <v>7</v>
      </c>
      <c r="P63">
        <f t="shared" si="4"/>
        <v>2.1</v>
      </c>
      <c r="Q63">
        <f t="shared" si="5"/>
        <v>5.6000000000000005</v>
      </c>
      <c r="R63">
        <f t="shared" si="6"/>
        <v>3.5</v>
      </c>
      <c r="S63">
        <f t="shared" si="15"/>
        <v>-0.5</v>
      </c>
      <c r="T63">
        <f t="shared" si="16"/>
        <v>10.700000000000001</v>
      </c>
      <c r="U63"/>
      <c r="V63" t="b">
        <f>AA63=M63</f>
        <v>1</v>
      </c>
      <c r="W63" t="b">
        <f>AB63=N63</f>
        <v>1</v>
      </c>
      <c r="X63" t="b">
        <f>AC63=O63</f>
        <v>1</v>
      </c>
      <c r="Y63">
        <f t="shared" si="8"/>
        <v>6</v>
      </c>
      <c r="Z63" s="8">
        <f>A63/4</f>
        <v>6.75</v>
      </c>
      <c r="AA63" s="8">
        <f t="shared" si="9"/>
        <v>7</v>
      </c>
      <c r="AB63" s="8">
        <f t="shared" si="0"/>
        <v>14</v>
      </c>
      <c r="AC63" s="8">
        <f t="shared" si="10"/>
        <v>7</v>
      </c>
      <c r="AD63" s="1">
        <f t="shared" si="11"/>
        <v>2.1</v>
      </c>
      <c r="AE63" s="1">
        <f t="shared" si="12"/>
        <v>5.6000000000000005</v>
      </c>
      <c r="AF63" s="1">
        <f t="shared" si="13"/>
        <v>3.5</v>
      </c>
      <c r="AG63" s="1">
        <f t="shared" si="24"/>
        <v>-0.5</v>
      </c>
      <c r="AH63" s="1">
        <f t="shared" si="25"/>
        <v>10.700000000000001</v>
      </c>
      <c r="AI63" t="b">
        <f>AH63=T63</f>
        <v>1</v>
      </c>
    </row>
    <row r="64" spans="1:35" x14ac:dyDescent="0.25">
      <c r="A64" s="4">
        <f t="shared" si="18"/>
        <v>26</v>
      </c>
      <c r="B64" s="3" t="str">
        <f t="shared" si="19"/>
        <v>1A</v>
      </c>
      <c r="C64" s="4" t="str">
        <f t="shared" si="20"/>
        <v>11010</v>
      </c>
      <c r="D64" s="4" t="str">
        <f t="shared" si="21"/>
        <v>1101</v>
      </c>
      <c r="E64" s="4" t="str">
        <f t="shared" si="22"/>
        <v>1010</v>
      </c>
      <c r="F64" s="4"/>
      <c r="H64" s="4"/>
      <c r="I64" s="13">
        <f t="shared" si="23"/>
        <v>0.4</v>
      </c>
      <c r="J64" s="14">
        <f t="shared" si="1"/>
        <v>0</v>
      </c>
      <c r="K64" s="14">
        <f t="shared" si="2"/>
        <v>1</v>
      </c>
      <c r="L64" s="14">
        <f t="shared" si="3"/>
        <v>0</v>
      </c>
      <c r="M64" s="14">
        <f>SUM($J64:$J$90)</f>
        <v>7</v>
      </c>
      <c r="N64" s="14">
        <f>SUM($K64:$K$90)</f>
        <v>14</v>
      </c>
      <c r="O64" s="14">
        <f>SUM($L64:$L$90)</f>
        <v>6</v>
      </c>
      <c r="P64">
        <f t="shared" si="4"/>
        <v>2.1</v>
      </c>
      <c r="Q64">
        <f t="shared" si="5"/>
        <v>5.6000000000000005</v>
      </c>
      <c r="R64">
        <f t="shared" si="6"/>
        <v>3</v>
      </c>
      <c r="S64">
        <f t="shared" si="15"/>
        <v>-0.5</v>
      </c>
      <c r="T64">
        <f t="shared" si="16"/>
        <v>10.200000000000001</v>
      </c>
      <c r="U64"/>
      <c r="V64" t="b">
        <f>AA64=M64</f>
        <v>1</v>
      </c>
      <c r="W64" t="b">
        <f>AB64=N64</f>
        <v>1</v>
      </c>
      <c r="X64" t="b">
        <f>AC64=O64</f>
        <v>1</v>
      </c>
      <c r="Y64">
        <f t="shared" si="8"/>
        <v>6</v>
      </c>
      <c r="Z64" s="8">
        <f>A64/4</f>
        <v>6.5</v>
      </c>
      <c r="AA64" s="8">
        <f t="shared" si="9"/>
        <v>7</v>
      </c>
      <c r="AB64" s="8">
        <f t="shared" si="0"/>
        <v>14</v>
      </c>
      <c r="AC64" s="8">
        <f t="shared" si="10"/>
        <v>6</v>
      </c>
      <c r="AD64" s="1">
        <f t="shared" si="11"/>
        <v>2.1</v>
      </c>
      <c r="AE64" s="1">
        <f t="shared" si="12"/>
        <v>5.6000000000000005</v>
      </c>
      <c r="AF64" s="1">
        <f t="shared" si="13"/>
        <v>3</v>
      </c>
      <c r="AG64" s="1">
        <f t="shared" si="24"/>
        <v>-0.5</v>
      </c>
      <c r="AH64" s="1">
        <f t="shared" si="25"/>
        <v>10.200000000000001</v>
      </c>
      <c r="AI64" t="b">
        <f>AH64=T64</f>
        <v>1</v>
      </c>
    </row>
    <row r="65" spans="1:35" x14ac:dyDescent="0.25">
      <c r="A65" s="4">
        <f t="shared" si="18"/>
        <v>25</v>
      </c>
      <c r="B65" s="3" t="str">
        <f t="shared" si="19"/>
        <v>19</v>
      </c>
      <c r="C65" s="4" t="str">
        <f t="shared" si="20"/>
        <v>11001</v>
      </c>
      <c r="D65" s="4" t="str">
        <f t="shared" si="21"/>
        <v>1100</v>
      </c>
      <c r="E65" s="4" t="str">
        <f t="shared" si="22"/>
        <v>1001</v>
      </c>
      <c r="F65" s="4"/>
      <c r="H65" s="4"/>
      <c r="I65" s="13">
        <f t="shared" si="23"/>
        <v>0.3</v>
      </c>
      <c r="J65" s="14">
        <f t="shared" si="1"/>
        <v>1</v>
      </c>
      <c r="K65" s="14">
        <f t="shared" si="2"/>
        <v>0</v>
      </c>
      <c r="L65" s="14">
        <f t="shared" si="3"/>
        <v>0</v>
      </c>
      <c r="M65" s="14">
        <f>SUM($J65:$J$90)</f>
        <v>7</v>
      </c>
      <c r="N65" s="14">
        <f>SUM($K65:$K$90)</f>
        <v>13</v>
      </c>
      <c r="O65" s="14">
        <f>SUM($L65:$L$90)</f>
        <v>6</v>
      </c>
      <c r="P65">
        <f t="shared" si="4"/>
        <v>2.1</v>
      </c>
      <c r="Q65">
        <f t="shared" si="5"/>
        <v>5.2</v>
      </c>
      <c r="R65">
        <f t="shared" si="6"/>
        <v>3</v>
      </c>
      <c r="S65">
        <f t="shared" si="15"/>
        <v>-0.5</v>
      </c>
      <c r="T65">
        <f t="shared" si="16"/>
        <v>9.8000000000000007</v>
      </c>
      <c r="U65"/>
      <c r="V65" t="b">
        <f>AA65=M65</f>
        <v>1</v>
      </c>
      <c r="W65" t="b">
        <f>AB65=N65</f>
        <v>1</v>
      </c>
      <c r="X65" t="b">
        <f>AC65=O65</f>
        <v>1</v>
      </c>
      <c r="Y65">
        <f t="shared" si="8"/>
        <v>6</v>
      </c>
      <c r="Z65" s="8">
        <f>A65/4</f>
        <v>6.25</v>
      </c>
      <c r="AA65" s="8">
        <f t="shared" si="9"/>
        <v>7</v>
      </c>
      <c r="AB65" s="8">
        <f t="shared" si="0"/>
        <v>13</v>
      </c>
      <c r="AC65" s="8">
        <f t="shared" si="10"/>
        <v>6</v>
      </c>
      <c r="AD65" s="1">
        <f t="shared" si="11"/>
        <v>2.1</v>
      </c>
      <c r="AE65" s="1">
        <f t="shared" si="12"/>
        <v>5.2</v>
      </c>
      <c r="AF65" s="1">
        <f t="shared" si="13"/>
        <v>3</v>
      </c>
      <c r="AG65" s="1">
        <f t="shared" si="24"/>
        <v>-0.5</v>
      </c>
      <c r="AH65" s="1">
        <f t="shared" si="25"/>
        <v>9.8000000000000007</v>
      </c>
      <c r="AI65" t="b">
        <f>AH65=T65</f>
        <v>1</v>
      </c>
    </row>
    <row r="66" spans="1:35" x14ac:dyDescent="0.25">
      <c r="A66" s="4">
        <f t="shared" si="18"/>
        <v>24</v>
      </c>
      <c r="B66" s="3" t="str">
        <f t="shared" si="19"/>
        <v>18</v>
      </c>
      <c r="C66" s="4" t="str">
        <f t="shared" si="20"/>
        <v>11000</v>
      </c>
      <c r="D66" s="4" t="str">
        <f t="shared" si="21"/>
        <v>1100</v>
      </c>
      <c r="E66" s="4" t="str">
        <f t="shared" si="22"/>
        <v>1000</v>
      </c>
      <c r="F66" s="4"/>
      <c r="H66" s="4"/>
      <c r="I66" s="13">
        <f t="shared" si="23"/>
        <v>0.4</v>
      </c>
      <c r="J66" s="14">
        <f t="shared" si="1"/>
        <v>0</v>
      </c>
      <c r="K66" s="14">
        <f t="shared" si="2"/>
        <v>1</v>
      </c>
      <c r="L66" s="14">
        <f t="shared" si="3"/>
        <v>0</v>
      </c>
      <c r="M66" s="14">
        <f>SUM($J66:$J$90)</f>
        <v>6</v>
      </c>
      <c r="N66" s="14">
        <f>SUM($K66:$K$90)</f>
        <v>13</v>
      </c>
      <c r="O66" s="14">
        <f>SUM($L66:$L$90)</f>
        <v>6</v>
      </c>
      <c r="P66">
        <f t="shared" si="4"/>
        <v>1.7999999999999998</v>
      </c>
      <c r="Q66">
        <f t="shared" si="5"/>
        <v>5.2</v>
      </c>
      <c r="R66">
        <f t="shared" si="6"/>
        <v>3</v>
      </c>
      <c r="S66">
        <f t="shared" si="15"/>
        <v>-0.5</v>
      </c>
      <c r="T66">
        <f t="shared" si="16"/>
        <v>9.5</v>
      </c>
      <c r="U66"/>
      <c r="V66" t="b">
        <f>AA66=M66</f>
        <v>1</v>
      </c>
      <c r="W66" t="b">
        <f>AB66=N66</f>
        <v>1</v>
      </c>
      <c r="X66" t="b">
        <f>AC66=O66</f>
        <v>1</v>
      </c>
      <c r="Y66">
        <f t="shared" si="8"/>
        <v>6</v>
      </c>
      <c r="Z66" s="8">
        <f>A66/4</f>
        <v>6</v>
      </c>
      <c r="AA66" s="8">
        <f t="shared" si="9"/>
        <v>6</v>
      </c>
      <c r="AB66" s="8">
        <f t="shared" si="0"/>
        <v>13</v>
      </c>
      <c r="AC66" s="8">
        <f t="shared" si="10"/>
        <v>6</v>
      </c>
      <c r="AD66" s="1">
        <f t="shared" si="11"/>
        <v>1.7999999999999998</v>
      </c>
      <c r="AE66" s="1">
        <f t="shared" si="12"/>
        <v>5.2</v>
      </c>
      <c r="AF66" s="1">
        <f t="shared" si="13"/>
        <v>3</v>
      </c>
      <c r="AG66" s="1">
        <f t="shared" si="24"/>
        <v>-0.5</v>
      </c>
      <c r="AH66" s="1">
        <f t="shared" si="25"/>
        <v>9.5</v>
      </c>
      <c r="AI66" t="b">
        <f>AH66=T66</f>
        <v>1</v>
      </c>
    </row>
    <row r="67" spans="1:35" x14ac:dyDescent="0.25">
      <c r="A67" s="4">
        <f t="shared" si="18"/>
        <v>23</v>
      </c>
      <c r="B67" s="3" t="str">
        <f t="shared" si="19"/>
        <v>17</v>
      </c>
      <c r="C67" s="4" t="str">
        <f t="shared" si="20"/>
        <v>10111</v>
      </c>
      <c r="D67" s="4" t="str">
        <f t="shared" si="21"/>
        <v>1011</v>
      </c>
      <c r="E67" s="4" t="str">
        <f t="shared" si="22"/>
        <v>0111</v>
      </c>
      <c r="F67" s="4"/>
      <c r="H67" s="4"/>
      <c r="I67" s="13">
        <f t="shared" si="23"/>
        <v>0.5</v>
      </c>
      <c r="J67" s="14">
        <f t="shared" ref="J67:J90" si="26">IF(I67=0.3,1,0)</f>
        <v>0</v>
      </c>
      <c r="K67" s="14">
        <f t="shared" ref="K67:K90" si="27">IF(I67=0.4,1,0)</f>
        <v>0</v>
      </c>
      <c r="L67" s="14">
        <f t="shared" ref="L67:L90" si="28">IF(I67=0.5,1,0)</f>
        <v>1</v>
      </c>
      <c r="M67" s="14">
        <f>SUM($J67:$J$90)</f>
        <v>6</v>
      </c>
      <c r="N67" s="14">
        <f>SUM($K67:$K$90)</f>
        <v>12</v>
      </c>
      <c r="O67" s="14">
        <f>SUM($L67:$L$90)</f>
        <v>6</v>
      </c>
      <c r="P67">
        <f t="shared" ref="P67:P90" si="29">M67*0.3</f>
        <v>1.7999999999999998</v>
      </c>
      <c r="Q67">
        <f t="shared" ref="Q67:Q90" si="30">N67*0.4</f>
        <v>4.8000000000000007</v>
      </c>
      <c r="R67">
        <f t="shared" ref="R67:R90" si="31">O67*0.5</f>
        <v>3</v>
      </c>
      <c r="S67">
        <f t="shared" si="15"/>
        <v>-0.5</v>
      </c>
      <c r="T67">
        <f t="shared" ref="T67:T90" si="32">SUM(P67:S67)</f>
        <v>9.1000000000000014</v>
      </c>
      <c r="U67"/>
      <c r="V67" t="b">
        <f>AA67=M67</f>
        <v>1</v>
      </c>
      <c r="W67" t="b">
        <f>AB67=N67</f>
        <v>1</v>
      </c>
      <c r="X67" t="b">
        <f>AC67=O67</f>
        <v>1</v>
      </c>
      <c r="Y67">
        <f t="shared" ref="Y67:Y90" si="33">TRUNC(A67/4)</f>
        <v>5</v>
      </c>
      <c r="Z67" s="8">
        <f>A67/4</f>
        <v>5.75</v>
      </c>
      <c r="AA67" s="8">
        <f t="shared" ref="AA67:AA90" si="34">TRUNC(Z67+3/4)</f>
        <v>6</v>
      </c>
      <c r="AB67" s="8">
        <f t="shared" ref="AB67:AB90" si="35">TRUNC(MOD(A67+1,2)+2*Z67+3/4)</f>
        <v>12</v>
      </c>
      <c r="AC67" s="8">
        <f t="shared" ref="AC67:AC90" si="36">TRUNC(Z67+1/4)</f>
        <v>6</v>
      </c>
      <c r="AD67" s="1">
        <f t="shared" ref="AD67:AD90" si="37">AA67*0.3</f>
        <v>1.7999999999999998</v>
      </c>
      <c r="AE67" s="1">
        <f t="shared" ref="AE67:AE90" si="38">AB67*0.4</f>
        <v>4.8000000000000007</v>
      </c>
      <c r="AF67" s="1">
        <f t="shared" ref="AF67:AF90" si="39">AC67*0.5</f>
        <v>3</v>
      </c>
      <c r="AG67" s="1">
        <f t="shared" si="24"/>
        <v>-0.5</v>
      </c>
      <c r="AH67" s="1">
        <f t="shared" si="25"/>
        <v>9.1000000000000014</v>
      </c>
      <c r="AI67" t="b">
        <f>AH67=T67</f>
        <v>1</v>
      </c>
    </row>
    <row r="68" spans="1:35" x14ac:dyDescent="0.25">
      <c r="A68" s="4">
        <f t="shared" si="18"/>
        <v>22</v>
      </c>
      <c r="B68" s="3" t="str">
        <f t="shared" si="19"/>
        <v>16</v>
      </c>
      <c r="C68" s="4" t="str">
        <f t="shared" si="20"/>
        <v>10110</v>
      </c>
      <c r="D68" s="4" t="str">
        <f t="shared" si="21"/>
        <v>1011</v>
      </c>
      <c r="E68" s="4" t="str">
        <f t="shared" si="22"/>
        <v>0110</v>
      </c>
      <c r="F68" s="4"/>
      <c r="H68" s="4"/>
      <c r="I68" s="13">
        <f t="shared" si="23"/>
        <v>0.4</v>
      </c>
      <c r="J68" s="14">
        <f t="shared" si="26"/>
        <v>0</v>
      </c>
      <c r="K68" s="14">
        <f t="shared" si="27"/>
        <v>1</v>
      </c>
      <c r="L68" s="14">
        <f t="shared" si="28"/>
        <v>0</v>
      </c>
      <c r="M68" s="14">
        <f>SUM($J68:$J$90)</f>
        <v>6</v>
      </c>
      <c r="N68" s="14">
        <f>SUM($K68:$K$90)</f>
        <v>12</v>
      </c>
      <c r="O68" s="14">
        <f>SUM($L68:$L$90)</f>
        <v>5</v>
      </c>
      <c r="P68">
        <f t="shared" si="29"/>
        <v>1.7999999999999998</v>
      </c>
      <c r="Q68">
        <f t="shared" si="30"/>
        <v>4.8000000000000007</v>
      </c>
      <c r="R68">
        <f t="shared" si="31"/>
        <v>2.5</v>
      </c>
      <c r="S68">
        <f t="shared" ref="S68:S89" si="40">S67</f>
        <v>-0.5</v>
      </c>
      <c r="T68">
        <f t="shared" si="32"/>
        <v>8.6000000000000014</v>
      </c>
      <c r="U68"/>
      <c r="V68" t="b">
        <f>AA68=M68</f>
        <v>1</v>
      </c>
      <c r="W68" t="b">
        <f>AB68=N68</f>
        <v>1</v>
      </c>
      <c r="X68" t="b">
        <f>AC68=O68</f>
        <v>1</v>
      </c>
      <c r="Y68">
        <f t="shared" si="33"/>
        <v>5</v>
      </c>
      <c r="Z68" s="8">
        <f>A68/4</f>
        <v>5.5</v>
      </c>
      <c r="AA68" s="8">
        <f t="shared" si="34"/>
        <v>6</v>
      </c>
      <c r="AB68" s="8">
        <f t="shared" si="35"/>
        <v>12</v>
      </c>
      <c r="AC68" s="8">
        <f t="shared" si="36"/>
        <v>5</v>
      </c>
      <c r="AD68" s="1">
        <f t="shared" si="37"/>
        <v>1.7999999999999998</v>
      </c>
      <c r="AE68" s="1">
        <f t="shared" si="38"/>
        <v>4.8000000000000007</v>
      </c>
      <c r="AF68" s="1">
        <f t="shared" si="39"/>
        <v>2.5</v>
      </c>
      <c r="AG68" s="1">
        <f t="shared" si="24"/>
        <v>-0.5</v>
      </c>
      <c r="AH68" s="1">
        <f t="shared" si="25"/>
        <v>8.6000000000000014</v>
      </c>
      <c r="AI68" t="b">
        <f>AH68=T68</f>
        <v>1</v>
      </c>
    </row>
    <row r="69" spans="1:35" x14ac:dyDescent="0.25">
      <c r="A69" s="4">
        <f t="shared" si="18"/>
        <v>21</v>
      </c>
      <c r="B69" s="3" t="str">
        <f t="shared" si="19"/>
        <v>15</v>
      </c>
      <c r="C69" s="4" t="str">
        <f t="shared" si="20"/>
        <v>10101</v>
      </c>
      <c r="D69" s="4" t="str">
        <f t="shared" si="21"/>
        <v>1010</v>
      </c>
      <c r="E69" s="4" t="str">
        <f t="shared" si="22"/>
        <v>0101</v>
      </c>
      <c r="F69" s="4"/>
      <c r="H69" s="4"/>
      <c r="I69" s="13">
        <f t="shared" si="23"/>
        <v>0.3</v>
      </c>
      <c r="J69" s="14">
        <f t="shared" si="26"/>
        <v>1</v>
      </c>
      <c r="K69" s="14">
        <f t="shared" si="27"/>
        <v>0</v>
      </c>
      <c r="L69" s="14">
        <f t="shared" si="28"/>
        <v>0</v>
      </c>
      <c r="M69" s="14">
        <f>SUM($J69:$J$90)</f>
        <v>6</v>
      </c>
      <c r="N69" s="14">
        <f>SUM($K69:$K$90)</f>
        <v>11</v>
      </c>
      <c r="O69" s="14">
        <f>SUM($L69:$L$90)</f>
        <v>5</v>
      </c>
      <c r="P69">
        <f t="shared" si="29"/>
        <v>1.7999999999999998</v>
      </c>
      <c r="Q69">
        <f t="shared" si="30"/>
        <v>4.4000000000000004</v>
      </c>
      <c r="R69">
        <f t="shared" si="31"/>
        <v>2.5</v>
      </c>
      <c r="S69">
        <f t="shared" si="40"/>
        <v>-0.5</v>
      </c>
      <c r="T69">
        <f t="shared" si="32"/>
        <v>8.1999999999999993</v>
      </c>
      <c r="U69"/>
      <c r="V69" t="b">
        <f>AA69=M69</f>
        <v>1</v>
      </c>
      <c r="W69" t="b">
        <f>AB69=N69</f>
        <v>1</v>
      </c>
      <c r="X69" t="b">
        <f>AC69=O69</f>
        <v>1</v>
      </c>
      <c r="Y69">
        <f t="shared" si="33"/>
        <v>5</v>
      </c>
      <c r="Z69" s="8">
        <f>A69/4</f>
        <v>5.25</v>
      </c>
      <c r="AA69" s="8">
        <f t="shared" si="34"/>
        <v>6</v>
      </c>
      <c r="AB69" s="8">
        <f t="shared" si="35"/>
        <v>11</v>
      </c>
      <c r="AC69" s="8">
        <f t="shared" si="36"/>
        <v>5</v>
      </c>
      <c r="AD69" s="1">
        <f t="shared" si="37"/>
        <v>1.7999999999999998</v>
      </c>
      <c r="AE69" s="1">
        <f t="shared" si="38"/>
        <v>4.4000000000000004</v>
      </c>
      <c r="AF69" s="1">
        <f t="shared" si="39"/>
        <v>2.5</v>
      </c>
      <c r="AG69" s="1">
        <f t="shared" si="24"/>
        <v>-0.5</v>
      </c>
      <c r="AH69" s="1">
        <f t="shared" si="25"/>
        <v>8.1999999999999993</v>
      </c>
      <c r="AI69" t="b">
        <f>AH69=T69</f>
        <v>1</v>
      </c>
    </row>
    <row r="70" spans="1:35" x14ac:dyDescent="0.25">
      <c r="A70" s="4">
        <f t="shared" si="18"/>
        <v>20</v>
      </c>
      <c r="B70" s="3" t="str">
        <f t="shared" si="19"/>
        <v>14</v>
      </c>
      <c r="C70" s="4" t="str">
        <f t="shared" si="20"/>
        <v>10100</v>
      </c>
      <c r="D70" s="4" t="str">
        <f t="shared" si="21"/>
        <v>1010</v>
      </c>
      <c r="E70" s="4" t="str">
        <f t="shared" si="22"/>
        <v>0100</v>
      </c>
      <c r="F70" s="4"/>
      <c r="H70" s="4"/>
      <c r="I70" s="13">
        <f t="shared" si="23"/>
        <v>0.4</v>
      </c>
      <c r="J70" s="14">
        <f t="shared" si="26"/>
        <v>0</v>
      </c>
      <c r="K70" s="14">
        <f t="shared" si="27"/>
        <v>1</v>
      </c>
      <c r="L70" s="14">
        <f t="shared" si="28"/>
        <v>0</v>
      </c>
      <c r="M70" s="14">
        <f>SUM($J70:$J$90)</f>
        <v>5</v>
      </c>
      <c r="N70" s="14">
        <f>SUM($K70:$K$90)</f>
        <v>11</v>
      </c>
      <c r="O70" s="14">
        <f>SUM($L70:$L$90)</f>
        <v>5</v>
      </c>
      <c r="P70">
        <f t="shared" si="29"/>
        <v>1.5</v>
      </c>
      <c r="Q70">
        <f t="shared" si="30"/>
        <v>4.4000000000000004</v>
      </c>
      <c r="R70">
        <f t="shared" si="31"/>
        <v>2.5</v>
      </c>
      <c r="S70">
        <f t="shared" si="40"/>
        <v>-0.5</v>
      </c>
      <c r="T70">
        <f t="shared" si="32"/>
        <v>7.9</v>
      </c>
      <c r="U70"/>
      <c r="V70" t="b">
        <f>AA70=M70</f>
        <v>1</v>
      </c>
      <c r="W70" t="b">
        <f>AB70=N70</f>
        <v>1</v>
      </c>
      <c r="X70" t="b">
        <f>AC70=O70</f>
        <v>1</v>
      </c>
      <c r="Y70">
        <f t="shared" si="33"/>
        <v>5</v>
      </c>
      <c r="Z70" s="8">
        <f>A70/4</f>
        <v>5</v>
      </c>
      <c r="AA70" s="8">
        <f t="shared" si="34"/>
        <v>5</v>
      </c>
      <c r="AB70" s="8">
        <f t="shared" si="35"/>
        <v>11</v>
      </c>
      <c r="AC70" s="8">
        <f t="shared" si="36"/>
        <v>5</v>
      </c>
      <c r="AD70" s="1">
        <f t="shared" si="37"/>
        <v>1.5</v>
      </c>
      <c r="AE70" s="1">
        <f t="shared" si="38"/>
        <v>4.4000000000000004</v>
      </c>
      <c r="AF70" s="1">
        <f t="shared" si="39"/>
        <v>2.5</v>
      </c>
      <c r="AG70" s="1">
        <f t="shared" si="24"/>
        <v>-0.5</v>
      </c>
      <c r="AH70" s="1">
        <f t="shared" si="25"/>
        <v>7.9</v>
      </c>
      <c r="AI70" t="b">
        <f>AH70=T70</f>
        <v>1</v>
      </c>
    </row>
    <row r="71" spans="1:35" x14ac:dyDescent="0.25">
      <c r="A71" s="4">
        <f t="shared" si="18"/>
        <v>19</v>
      </c>
      <c r="B71" s="3" t="str">
        <f t="shared" si="19"/>
        <v>13</v>
      </c>
      <c r="C71" s="4" t="str">
        <f t="shared" si="20"/>
        <v>10011</v>
      </c>
      <c r="D71" s="4" t="str">
        <f t="shared" si="21"/>
        <v>1001</v>
      </c>
      <c r="E71" s="4" t="str">
        <f t="shared" si="22"/>
        <v>0011</v>
      </c>
      <c r="F71" s="4"/>
      <c r="H71" s="4"/>
      <c r="I71" s="13">
        <f t="shared" si="23"/>
        <v>0.5</v>
      </c>
      <c r="J71" s="14">
        <f t="shared" si="26"/>
        <v>0</v>
      </c>
      <c r="K71" s="14">
        <f t="shared" si="27"/>
        <v>0</v>
      </c>
      <c r="L71" s="14">
        <f t="shared" si="28"/>
        <v>1</v>
      </c>
      <c r="M71" s="14">
        <f>SUM($J71:$J$90)</f>
        <v>5</v>
      </c>
      <c r="N71" s="14">
        <f>SUM($K71:$K$90)</f>
        <v>10</v>
      </c>
      <c r="O71" s="14">
        <f>SUM($L71:$L$90)</f>
        <v>5</v>
      </c>
      <c r="P71">
        <f t="shared" si="29"/>
        <v>1.5</v>
      </c>
      <c r="Q71">
        <f t="shared" si="30"/>
        <v>4</v>
      </c>
      <c r="R71">
        <f t="shared" si="31"/>
        <v>2.5</v>
      </c>
      <c r="S71">
        <f t="shared" si="40"/>
        <v>-0.5</v>
      </c>
      <c r="T71">
        <f t="shared" si="32"/>
        <v>7.5</v>
      </c>
      <c r="U71"/>
      <c r="V71" t="b">
        <f>AA71=M71</f>
        <v>1</v>
      </c>
      <c r="W71" t="b">
        <f>AB71=N71</f>
        <v>1</v>
      </c>
      <c r="X71" t="b">
        <f>AC71=O71</f>
        <v>1</v>
      </c>
      <c r="Y71">
        <f t="shared" si="33"/>
        <v>4</v>
      </c>
      <c r="Z71" s="8">
        <f>A71/4</f>
        <v>4.75</v>
      </c>
      <c r="AA71" s="8">
        <f t="shared" si="34"/>
        <v>5</v>
      </c>
      <c r="AB71" s="8">
        <f t="shared" si="35"/>
        <v>10</v>
      </c>
      <c r="AC71" s="8">
        <f t="shared" si="36"/>
        <v>5</v>
      </c>
      <c r="AD71" s="1">
        <f t="shared" si="37"/>
        <v>1.5</v>
      </c>
      <c r="AE71" s="1">
        <f t="shared" si="38"/>
        <v>4</v>
      </c>
      <c r="AF71" s="1">
        <f t="shared" si="39"/>
        <v>2.5</v>
      </c>
      <c r="AG71" s="1">
        <f t="shared" si="24"/>
        <v>-0.5</v>
      </c>
      <c r="AH71" s="1">
        <f t="shared" si="25"/>
        <v>7.5</v>
      </c>
      <c r="AI71" t="b">
        <f>AH71=T71</f>
        <v>1</v>
      </c>
    </row>
    <row r="72" spans="1:35" x14ac:dyDescent="0.25">
      <c r="A72" s="4">
        <f t="shared" si="18"/>
        <v>18</v>
      </c>
      <c r="B72" s="3" t="str">
        <f t="shared" si="19"/>
        <v>12</v>
      </c>
      <c r="C72" s="4" t="str">
        <f t="shared" si="20"/>
        <v>10010</v>
      </c>
      <c r="D72" s="4" t="str">
        <f t="shared" si="21"/>
        <v>1001</v>
      </c>
      <c r="E72" s="4" t="str">
        <f t="shared" si="22"/>
        <v>0010</v>
      </c>
      <c r="F72" s="4"/>
      <c r="H72" s="4"/>
      <c r="I72" s="13">
        <f t="shared" si="23"/>
        <v>0.4</v>
      </c>
      <c r="J72" s="14">
        <f t="shared" si="26"/>
        <v>0</v>
      </c>
      <c r="K72" s="14">
        <f t="shared" si="27"/>
        <v>1</v>
      </c>
      <c r="L72" s="14">
        <f t="shared" si="28"/>
        <v>0</v>
      </c>
      <c r="M72" s="14">
        <f>SUM($J72:$J$90)</f>
        <v>5</v>
      </c>
      <c r="N72" s="14">
        <f>SUM($K72:$K$90)</f>
        <v>10</v>
      </c>
      <c r="O72" s="14">
        <f>SUM($L72:$L$90)</f>
        <v>4</v>
      </c>
      <c r="P72">
        <f t="shared" si="29"/>
        <v>1.5</v>
      </c>
      <c r="Q72">
        <f t="shared" si="30"/>
        <v>4</v>
      </c>
      <c r="R72">
        <f t="shared" si="31"/>
        <v>2</v>
      </c>
      <c r="S72">
        <f t="shared" si="40"/>
        <v>-0.5</v>
      </c>
      <c r="T72">
        <f t="shared" si="32"/>
        <v>7</v>
      </c>
      <c r="U72"/>
      <c r="V72" t="b">
        <f>AA72=M72</f>
        <v>1</v>
      </c>
      <c r="W72" t="b">
        <f>AB72=N72</f>
        <v>1</v>
      </c>
      <c r="X72" t="b">
        <f>AC72=O72</f>
        <v>1</v>
      </c>
      <c r="Y72">
        <f t="shared" si="33"/>
        <v>4</v>
      </c>
      <c r="Z72" s="8">
        <f>A72/4</f>
        <v>4.5</v>
      </c>
      <c r="AA72" s="8">
        <f t="shared" si="34"/>
        <v>5</v>
      </c>
      <c r="AB72" s="8">
        <f t="shared" si="35"/>
        <v>10</v>
      </c>
      <c r="AC72" s="8">
        <f t="shared" si="36"/>
        <v>4</v>
      </c>
      <c r="AD72" s="1">
        <f t="shared" si="37"/>
        <v>1.5</v>
      </c>
      <c r="AE72" s="1">
        <f t="shared" si="38"/>
        <v>4</v>
      </c>
      <c r="AF72" s="1">
        <f t="shared" si="39"/>
        <v>2</v>
      </c>
      <c r="AG72" s="1">
        <f t="shared" si="24"/>
        <v>-0.5</v>
      </c>
      <c r="AH72" s="1">
        <f t="shared" si="25"/>
        <v>7</v>
      </c>
      <c r="AI72" t="b">
        <f>AH72=T72</f>
        <v>1</v>
      </c>
    </row>
    <row r="73" spans="1:35" x14ac:dyDescent="0.25">
      <c r="A73" s="4">
        <f t="shared" si="18"/>
        <v>17</v>
      </c>
      <c r="B73" s="3" t="str">
        <f t="shared" si="19"/>
        <v>11</v>
      </c>
      <c r="C73" s="4" t="str">
        <f t="shared" si="20"/>
        <v>10001</v>
      </c>
      <c r="D73" s="4" t="str">
        <f t="shared" si="21"/>
        <v>1000</v>
      </c>
      <c r="E73" s="4" t="str">
        <f t="shared" si="22"/>
        <v>0001</v>
      </c>
      <c r="F73" s="4"/>
      <c r="H73" s="4"/>
      <c r="I73" s="13">
        <f t="shared" si="23"/>
        <v>0.3</v>
      </c>
      <c r="J73" s="14">
        <f t="shared" si="26"/>
        <v>1</v>
      </c>
      <c r="K73" s="14">
        <f t="shared" si="27"/>
        <v>0</v>
      </c>
      <c r="L73" s="14">
        <f t="shared" si="28"/>
        <v>0</v>
      </c>
      <c r="M73" s="14">
        <f>SUM($J73:$J$90)</f>
        <v>5</v>
      </c>
      <c r="N73" s="14">
        <f>SUM($K73:$K$90)</f>
        <v>9</v>
      </c>
      <c r="O73" s="14">
        <f>SUM($L73:$L$90)</f>
        <v>4</v>
      </c>
      <c r="P73">
        <f t="shared" si="29"/>
        <v>1.5</v>
      </c>
      <c r="Q73">
        <f t="shared" si="30"/>
        <v>3.6</v>
      </c>
      <c r="R73">
        <f t="shared" si="31"/>
        <v>2</v>
      </c>
      <c r="S73">
        <f t="shared" si="40"/>
        <v>-0.5</v>
      </c>
      <c r="T73">
        <f t="shared" si="32"/>
        <v>6.6</v>
      </c>
      <c r="U73"/>
      <c r="V73" t="b">
        <f>AA73=M73</f>
        <v>1</v>
      </c>
      <c r="W73" t="b">
        <f>AB73=N73</f>
        <v>1</v>
      </c>
      <c r="X73" t="b">
        <f>AC73=O73</f>
        <v>1</v>
      </c>
      <c r="Y73">
        <f t="shared" si="33"/>
        <v>4</v>
      </c>
      <c r="Z73" s="8">
        <f>A73/4</f>
        <v>4.25</v>
      </c>
      <c r="AA73" s="8">
        <f t="shared" si="34"/>
        <v>5</v>
      </c>
      <c r="AB73" s="8">
        <f t="shared" si="35"/>
        <v>9</v>
      </c>
      <c r="AC73" s="8">
        <f t="shared" si="36"/>
        <v>4</v>
      </c>
      <c r="AD73" s="1">
        <f t="shared" si="37"/>
        <v>1.5</v>
      </c>
      <c r="AE73" s="1">
        <f t="shared" si="38"/>
        <v>3.6</v>
      </c>
      <c r="AF73" s="1">
        <f t="shared" si="39"/>
        <v>2</v>
      </c>
      <c r="AG73" s="1">
        <f t="shared" si="24"/>
        <v>-0.5</v>
      </c>
      <c r="AH73" s="1">
        <f t="shared" si="25"/>
        <v>6.6</v>
      </c>
      <c r="AI73" t="b">
        <f>AH73=T73</f>
        <v>1</v>
      </c>
    </row>
    <row r="74" spans="1:35" x14ac:dyDescent="0.25">
      <c r="A74" s="4">
        <f t="shared" si="18"/>
        <v>16</v>
      </c>
      <c r="B74" s="3" t="str">
        <f t="shared" si="19"/>
        <v>10</v>
      </c>
      <c r="C74" s="4" t="str">
        <f t="shared" si="20"/>
        <v>10000</v>
      </c>
      <c r="D74" s="4" t="str">
        <f t="shared" si="21"/>
        <v>1000</v>
      </c>
      <c r="E74" s="4" t="str">
        <f t="shared" si="22"/>
        <v>0000</v>
      </c>
      <c r="F74" s="4"/>
      <c r="H74" s="4"/>
      <c r="I74" s="13">
        <f t="shared" si="23"/>
        <v>0.4</v>
      </c>
      <c r="J74" s="14">
        <f t="shared" si="26"/>
        <v>0</v>
      </c>
      <c r="K74" s="14">
        <f t="shared" si="27"/>
        <v>1</v>
      </c>
      <c r="L74" s="14">
        <f t="shared" si="28"/>
        <v>0</v>
      </c>
      <c r="M74" s="14">
        <f>SUM($J74:$J$90)</f>
        <v>4</v>
      </c>
      <c r="N74" s="14">
        <f>SUM($K74:$K$90)</f>
        <v>9</v>
      </c>
      <c r="O74" s="14">
        <f>SUM($L74:$L$90)</f>
        <v>4</v>
      </c>
      <c r="P74">
        <f t="shared" si="29"/>
        <v>1.2</v>
      </c>
      <c r="Q74">
        <f t="shared" si="30"/>
        <v>3.6</v>
      </c>
      <c r="R74">
        <f t="shared" si="31"/>
        <v>2</v>
      </c>
      <c r="S74">
        <f t="shared" si="40"/>
        <v>-0.5</v>
      </c>
      <c r="T74">
        <f t="shared" si="32"/>
        <v>6.3</v>
      </c>
      <c r="U74"/>
      <c r="V74" t="b">
        <f>AA74=M74</f>
        <v>1</v>
      </c>
      <c r="W74" t="b">
        <f>AB74=N74</f>
        <v>1</v>
      </c>
      <c r="X74" t="b">
        <f>AC74=O74</f>
        <v>1</v>
      </c>
      <c r="Y74">
        <f t="shared" si="33"/>
        <v>4</v>
      </c>
      <c r="Z74" s="8">
        <f>A74/4</f>
        <v>4</v>
      </c>
      <c r="AA74" s="8">
        <f t="shared" si="34"/>
        <v>4</v>
      </c>
      <c r="AB74" s="8">
        <f t="shared" si="35"/>
        <v>9</v>
      </c>
      <c r="AC74" s="8">
        <f t="shared" si="36"/>
        <v>4</v>
      </c>
      <c r="AD74" s="1">
        <f t="shared" si="37"/>
        <v>1.2</v>
      </c>
      <c r="AE74" s="1">
        <f t="shared" si="38"/>
        <v>3.6</v>
      </c>
      <c r="AF74" s="1">
        <f t="shared" si="39"/>
        <v>2</v>
      </c>
      <c r="AG74" s="1">
        <f t="shared" si="24"/>
        <v>-0.5</v>
      </c>
      <c r="AH74" s="1">
        <f t="shared" si="25"/>
        <v>6.3</v>
      </c>
      <c r="AI74" t="b">
        <f>AH74=T74</f>
        <v>1</v>
      </c>
    </row>
    <row r="75" spans="1:35" x14ac:dyDescent="0.25">
      <c r="A75" s="4">
        <f t="shared" si="18"/>
        <v>15</v>
      </c>
      <c r="B75" s="3" t="str">
        <f t="shared" si="19"/>
        <v>F</v>
      </c>
      <c r="C75" s="4" t="str">
        <f t="shared" si="20"/>
        <v>1111</v>
      </c>
      <c r="D75" s="4" t="str">
        <f t="shared" si="21"/>
        <v>1111</v>
      </c>
      <c r="E75" s="4" t="str">
        <f t="shared" si="22"/>
        <v>1111</v>
      </c>
      <c r="F75" s="4"/>
      <c r="H75" s="4"/>
      <c r="I75" s="13">
        <f t="shared" si="23"/>
        <v>0.5</v>
      </c>
      <c r="J75" s="14">
        <f t="shared" si="26"/>
        <v>0</v>
      </c>
      <c r="K75" s="14">
        <f t="shared" si="27"/>
        <v>0</v>
      </c>
      <c r="L75" s="14">
        <f t="shared" si="28"/>
        <v>1</v>
      </c>
      <c r="M75" s="14">
        <f>SUM($J75:$J$90)</f>
        <v>4</v>
      </c>
      <c r="N75" s="14">
        <f>SUM($K75:$K$90)</f>
        <v>8</v>
      </c>
      <c r="O75" s="14">
        <f>SUM($L75:$L$90)</f>
        <v>4</v>
      </c>
      <c r="P75">
        <f t="shared" si="29"/>
        <v>1.2</v>
      </c>
      <c r="Q75">
        <f t="shared" si="30"/>
        <v>3.2</v>
      </c>
      <c r="R75">
        <f t="shared" si="31"/>
        <v>2</v>
      </c>
      <c r="S75">
        <f t="shared" si="40"/>
        <v>-0.5</v>
      </c>
      <c r="T75">
        <f t="shared" si="32"/>
        <v>5.9</v>
      </c>
      <c r="U75"/>
      <c r="V75" t="b">
        <f>AA75=M75</f>
        <v>1</v>
      </c>
      <c r="W75" t="b">
        <f>AB75=N75</f>
        <v>1</v>
      </c>
      <c r="X75" t="b">
        <f>AC75=O75</f>
        <v>1</v>
      </c>
      <c r="Y75">
        <f t="shared" si="33"/>
        <v>3</v>
      </c>
      <c r="Z75" s="8">
        <f>A75/4</f>
        <v>3.75</v>
      </c>
      <c r="AA75" s="8">
        <f t="shared" si="34"/>
        <v>4</v>
      </c>
      <c r="AB75" s="8">
        <f t="shared" si="35"/>
        <v>8</v>
      </c>
      <c r="AC75" s="8">
        <f t="shared" si="36"/>
        <v>4</v>
      </c>
      <c r="AD75" s="1">
        <f t="shared" si="37"/>
        <v>1.2</v>
      </c>
      <c r="AE75" s="1">
        <f t="shared" si="38"/>
        <v>3.2</v>
      </c>
      <c r="AF75" s="1">
        <f t="shared" si="39"/>
        <v>2</v>
      </c>
      <c r="AG75" s="1">
        <f t="shared" si="24"/>
        <v>-0.5</v>
      </c>
      <c r="AH75" s="1">
        <f t="shared" si="25"/>
        <v>5.9</v>
      </c>
      <c r="AI75" t="b">
        <f>AH75=T75</f>
        <v>1</v>
      </c>
    </row>
    <row r="76" spans="1:35" x14ac:dyDescent="0.25">
      <c r="A76" s="4">
        <f t="shared" si="18"/>
        <v>14</v>
      </c>
      <c r="B76" s="3" t="str">
        <f t="shared" si="19"/>
        <v>E</v>
      </c>
      <c r="C76" s="4" t="str">
        <f t="shared" si="20"/>
        <v>1110</v>
      </c>
      <c r="D76" s="4" t="str">
        <f t="shared" si="21"/>
        <v>1110</v>
      </c>
      <c r="E76" s="4" t="str">
        <f t="shared" si="22"/>
        <v>1110</v>
      </c>
      <c r="F76" s="4"/>
      <c r="H76" s="4"/>
      <c r="I76" s="13">
        <f t="shared" si="23"/>
        <v>0.4</v>
      </c>
      <c r="J76" s="14">
        <f t="shared" si="26"/>
        <v>0</v>
      </c>
      <c r="K76" s="14">
        <f t="shared" si="27"/>
        <v>1</v>
      </c>
      <c r="L76" s="14">
        <f t="shared" si="28"/>
        <v>0</v>
      </c>
      <c r="M76" s="14">
        <f>SUM($J76:$J$90)</f>
        <v>4</v>
      </c>
      <c r="N76" s="14">
        <f>SUM($K76:$K$90)</f>
        <v>8</v>
      </c>
      <c r="O76" s="14">
        <f>SUM($L76:$L$90)</f>
        <v>3</v>
      </c>
      <c r="P76">
        <f t="shared" si="29"/>
        <v>1.2</v>
      </c>
      <c r="Q76">
        <f t="shared" si="30"/>
        <v>3.2</v>
      </c>
      <c r="R76">
        <f t="shared" si="31"/>
        <v>1.5</v>
      </c>
      <c r="S76">
        <f t="shared" si="40"/>
        <v>-0.5</v>
      </c>
      <c r="T76">
        <f t="shared" si="32"/>
        <v>5.4</v>
      </c>
      <c r="U76"/>
      <c r="V76" t="b">
        <f>AA76=M76</f>
        <v>1</v>
      </c>
      <c r="W76" t="b">
        <f>AB76=N76</f>
        <v>1</v>
      </c>
      <c r="X76" t="b">
        <f>AC76=O76</f>
        <v>1</v>
      </c>
      <c r="Y76">
        <f t="shared" si="33"/>
        <v>3</v>
      </c>
      <c r="Z76" s="8">
        <f>A76/4</f>
        <v>3.5</v>
      </c>
      <c r="AA76" s="8">
        <f t="shared" si="34"/>
        <v>4</v>
      </c>
      <c r="AB76" s="8">
        <f t="shared" si="35"/>
        <v>8</v>
      </c>
      <c r="AC76" s="8">
        <f t="shared" si="36"/>
        <v>3</v>
      </c>
      <c r="AD76" s="1">
        <f t="shared" si="37"/>
        <v>1.2</v>
      </c>
      <c r="AE76" s="1">
        <f t="shared" si="38"/>
        <v>3.2</v>
      </c>
      <c r="AF76" s="1">
        <f t="shared" si="39"/>
        <v>1.5</v>
      </c>
      <c r="AG76" s="1">
        <f t="shared" si="24"/>
        <v>-0.5</v>
      </c>
      <c r="AH76" s="1">
        <f t="shared" si="25"/>
        <v>5.4</v>
      </c>
      <c r="AI76" t="b">
        <f>AH76=T76</f>
        <v>1</v>
      </c>
    </row>
    <row r="77" spans="1:35" x14ac:dyDescent="0.25">
      <c r="A77" s="4">
        <f t="shared" ref="A77:A90" si="41">A76-1</f>
        <v>13</v>
      </c>
      <c r="B77" s="3" t="str">
        <f t="shared" ref="B77:B90" si="42">DEC2HEX(A77)</f>
        <v>D</v>
      </c>
      <c r="C77" s="4" t="str">
        <f t="shared" ref="C77:C90" si="43">HEX2BIN(B77)</f>
        <v>1101</v>
      </c>
      <c r="D77" s="4" t="str">
        <f t="shared" ref="D77:D90" si="44">LEFT(C77,4)</f>
        <v>1101</v>
      </c>
      <c r="E77" s="4" t="str">
        <f t="shared" ref="E77:E90" si="45">RIGHT(C77,4)</f>
        <v>1101</v>
      </c>
      <c r="F77" s="4"/>
      <c r="H77" s="4"/>
      <c r="I77" s="13">
        <f t="shared" ref="I77:I90" si="46">I73</f>
        <v>0.3</v>
      </c>
      <c r="J77" s="14">
        <f t="shared" si="26"/>
        <v>1</v>
      </c>
      <c r="K77" s="14">
        <f t="shared" si="27"/>
        <v>0</v>
      </c>
      <c r="L77" s="14">
        <f t="shared" si="28"/>
        <v>0</v>
      </c>
      <c r="M77" s="14">
        <f>SUM($J77:$J$90)</f>
        <v>4</v>
      </c>
      <c r="N77" s="14">
        <f>SUM($K77:$K$90)</f>
        <v>7</v>
      </c>
      <c r="O77" s="14">
        <f>SUM($L77:$L$90)</f>
        <v>3</v>
      </c>
      <c r="P77">
        <f t="shared" si="29"/>
        <v>1.2</v>
      </c>
      <c r="Q77">
        <f t="shared" si="30"/>
        <v>2.8000000000000003</v>
      </c>
      <c r="R77">
        <f t="shared" si="31"/>
        <v>1.5</v>
      </c>
      <c r="S77">
        <f t="shared" si="40"/>
        <v>-0.5</v>
      </c>
      <c r="T77">
        <f t="shared" si="32"/>
        <v>5</v>
      </c>
      <c r="U77"/>
      <c r="V77" t="b">
        <f>AA77=M77</f>
        <v>1</v>
      </c>
      <c r="W77" t="b">
        <f>AB77=N77</f>
        <v>1</v>
      </c>
      <c r="X77" t="b">
        <f>AC77=O77</f>
        <v>1</v>
      </c>
      <c r="Y77">
        <f t="shared" si="33"/>
        <v>3</v>
      </c>
      <c r="Z77" s="8">
        <f>A77/4</f>
        <v>3.25</v>
      </c>
      <c r="AA77" s="8">
        <f t="shared" si="34"/>
        <v>4</v>
      </c>
      <c r="AB77" s="8">
        <f t="shared" si="35"/>
        <v>7</v>
      </c>
      <c r="AC77" s="8">
        <f t="shared" si="36"/>
        <v>3</v>
      </c>
      <c r="AD77" s="1">
        <f t="shared" si="37"/>
        <v>1.2</v>
      </c>
      <c r="AE77" s="1">
        <f t="shared" si="38"/>
        <v>2.8000000000000003</v>
      </c>
      <c r="AF77" s="1">
        <f t="shared" si="39"/>
        <v>1.5</v>
      </c>
      <c r="AG77" s="1">
        <f t="shared" si="24"/>
        <v>-0.5</v>
      </c>
      <c r="AH77" s="1">
        <f t="shared" si="25"/>
        <v>5</v>
      </c>
      <c r="AI77" t="b">
        <f>AH77=T77</f>
        <v>1</v>
      </c>
    </row>
    <row r="78" spans="1:35" x14ac:dyDescent="0.25">
      <c r="A78" s="4">
        <f t="shared" si="41"/>
        <v>12</v>
      </c>
      <c r="B78" s="3" t="str">
        <f t="shared" si="42"/>
        <v>C</v>
      </c>
      <c r="C78" s="4" t="str">
        <f t="shared" si="43"/>
        <v>1100</v>
      </c>
      <c r="D78" s="4" t="str">
        <f t="shared" si="44"/>
        <v>1100</v>
      </c>
      <c r="E78" s="4" t="str">
        <f t="shared" si="45"/>
        <v>1100</v>
      </c>
      <c r="F78" s="4"/>
      <c r="H78" s="4"/>
      <c r="I78" s="13">
        <f t="shared" si="46"/>
        <v>0.4</v>
      </c>
      <c r="J78" s="14">
        <f t="shared" si="26"/>
        <v>0</v>
      </c>
      <c r="K78" s="14">
        <f t="shared" si="27"/>
        <v>1</v>
      </c>
      <c r="L78" s="14">
        <f t="shared" si="28"/>
        <v>0</v>
      </c>
      <c r="M78" s="14">
        <f>SUM($J78:$J$90)</f>
        <v>3</v>
      </c>
      <c r="N78" s="14">
        <f>SUM($K78:$K$90)</f>
        <v>7</v>
      </c>
      <c r="O78" s="14">
        <f>SUM($L78:$L$90)</f>
        <v>3</v>
      </c>
      <c r="P78">
        <f t="shared" si="29"/>
        <v>0.89999999999999991</v>
      </c>
      <c r="Q78">
        <f t="shared" si="30"/>
        <v>2.8000000000000003</v>
      </c>
      <c r="R78">
        <f t="shared" si="31"/>
        <v>1.5</v>
      </c>
      <c r="S78">
        <f t="shared" si="40"/>
        <v>-0.5</v>
      </c>
      <c r="T78">
        <f t="shared" si="32"/>
        <v>4.7</v>
      </c>
      <c r="U78"/>
      <c r="V78" t="b">
        <f>AA78=M78</f>
        <v>1</v>
      </c>
      <c r="W78" t="b">
        <f>AB78=N78</f>
        <v>1</v>
      </c>
      <c r="X78" t="b">
        <f>AC78=O78</f>
        <v>1</v>
      </c>
      <c r="Y78">
        <f t="shared" si="33"/>
        <v>3</v>
      </c>
      <c r="Z78" s="8">
        <f>A78/4</f>
        <v>3</v>
      </c>
      <c r="AA78" s="8">
        <f t="shared" si="34"/>
        <v>3</v>
      </c>
      <c r="AB78" s="8">
        <f t="shared" si="35"/>
        <v>7</v>
      </c>
      <c r="AC78" s="8">
        <f t="shared" si="36"/>
        <v>3</v>
      </c>
      <c r="AD78" s="1">
        <f t="shared" si="37"/>
        <v>0.89999999999999991</v>
      </c>
      <c r="AE78" s="1">
        <f t="shared" si="38"/>
        <v>2.8000000000000003</v>
      </c>
      <c r="AF78" s="1">
        <f t="shared" si="39"/>
        <v>1.5</v>
      </c>
      <c r="AG78" s="1">
        <f t="shared" si="24"/>
        <v>-0.5</v>
      </c>
      <c r="AH78" s="1">
        <f t="shared" si="25"/>
        <v>4.7</v>
      </c>
      <c r="AI78" t="b">
        <f>AH78=T78</f>
        <v>1</v>
      </c>
    </row>
    <row r="79" spans="1:35" x14ac:dyDescent="0.25">
      <c r="A79" s="4">
        <f t="shared" si="41"/>
        <v>11</v>
      </c>
      <c r="B79" s="3" t="str">
        <f t="shared" si="42"/>
        <v>B</v>
      </c>
      <c r="C79" s="4" t="str">
        <f t="shared" si="43"/>
        <v>1011</v>
      </c>
      <c r="D79" s="4" t="str">
        <f t="shared" si="44"/>
        <v>1011</v>
      </c>
      <c r="E79" s="4" t="str">
        <f t="shared" si="45"/>
        <v>1011</v>
      </c>
      <c r="F79" s="4"/>
      <c r="H79" s="4"/>
      <c r="I79" s="13">
        <f t="shared" si="46"/>
        <v>0.5</v>
      </c>
      <c r="J79" s="14">
        <f t="shared" si="26"/>
        <v>0</v>
      </c>
      <c r="K79" s="14">
        <f t="shared" si="27"/>
        <v>0</v>
      </c>
      <c r="L79" s="14">
        <f t="shared" si="28"/>
        <v>1</v>
      </c>
      <c r="M79" s="14">
        <f>SUM($J79:$J$90)</f>
        <v>3</v>
      </c>
      <c r="N79" s="14">
        <f>SUM($K79:$K$90)</f>
        <v>6</v>
      </c>
      <c r="O79" s="14">
        <f>SUM($L79:$L$90)</f>
        <v>3</v>
      </c>
      <c r="P79">
        <f t="shared" si="29"/>
        <v>0.89999999999999991</v>
      </c>
      <c r="Q79">
        <f t="shared" si="30"/>
        <v>2.4000000000000004</v>
      </c>
      <c r="R79">
        <f t="shared" si="31"/>
        <v>1.5</v>
      </c>
      <c r="S79">
        <f t="shared" si="40"/>
        <v>-0.5</v>
      </c>
      <c r="T79">
        <f t="shared" si="32"/>
        <v>4.3000000000000007</v>
      </c>
      <c r="U79"/>
      <c r="V79" t="b">
        <f>AA79=M79</f>
        <v>1</v>
      </c>
      <c r="W79" t="b">
        <f>AB79=N79</f>
        <v>1</v>
      </c>
      <c r="X79" t="b">
        <f>AC79=O79</f>
        <v>1</v>
      </c>
      <c r="Y79">
        <f t="shared" si="33"/>
        <v>2</v>
      </c>
      <c r="Z79" s="8">
        <f>A79/4</f>
        <v>2.75</v>
      </c>
      <c r="AA79" s="8">
        <f t="shared" si="34"/>
        <v>3</v>
      </c>
      <c r="AB79" s="8">
        <f t="shared" si="35"/>
        <v>6</v>
      </c>
      <c r="AC79" s="8">
        <f t="shared" si="36"/>
        <v>3</v>
      </c>
      <c r="AD79" s="1">
        <f t="shared" si="37"/>
        <v>0.89999999999999991</v>
      </c>
      <c r="AE79" s="1">
        <f t="shared" si="38"/>
        <v>2.4000000000000004</v>
      </c>
      <c r="AF79" s="1">
        <f t="shared" si="39"/>
        <v>1.5</v>
      </c>
      <c r="AG79" s="1">
        <f t="shared" si="24"/>
        <v>-0.5</v>
      </c>
      <c r="AH79" s="1">
        <f t="shared" si="25"/>
        <v>4.3000000000000007</v>
      </c>
      <c r="AI79" t="b">
        <f>AH79=T79</f>
        <v>1</v>
      </c>
    </row>
    <row r="80" spans="1:35" x14ac:dyDescent="0.25">
      <c r="A80" s="4">
        <f t="shared" si="41"/>
        <v>10</v>
      </c>
      <c r="B80" s="3" t="str">
        <f t="shared" si="42"/>
        <v>A</v>
      </c>
      <c r="C80" s="4" t="str">
        <f t="shared" si="43"/>
        <v>1010</v>
      </c>
      <c r="D80" s="4" t="str">
        <f t="shared" si="44"/>
        <v>1010</v>
      </c>
      <c r="E80" s="4" t="str">
        <f t="shared" si="45"/>
        <v>1010</v>
      </c>
      <c r="F80" s="4"/>
      <c r="H80" s="4"/>
      <c r="I80" s="13">
        <f t="shared" si="46"/>
        <v>0.4</v>
      </c>
      <c r="J80" s="14">
        <f t="shared" si="26"/>
        <v>0</v>
      </c>
      <c r="K80" s="14">
        <f t="shared" si="27"/>
        <v>1</v>
      </c>
      <c r="L80" s="14">
        <f t="shared" si="28"/>
        <v>0</v>
      </c>
      <c r="M80" s="14">
        <f>SUM($J80:$J$90)</f>
        <v>3</v>
      </c>
      <c r="N80" s="14">
        <f>SUM($K80:$K$90)</f>
        <v>6</v>
      </c>
      <c r="O80" s="14">
        <f>SUM($L80:$L$90)</f>
        <v>2</v>
      </c>
      <c r="P80">
        <f t="shared" si="29"/>
        <v>0.89999999999999991</v>
      </c>
      <c r="Q80">
        <f t="shared" si="30"/>
        <v>2.4000000000000004</v>
      </c>
      <c r="R80">
        <f t="shared" si="31"/>
        <v>1</v>
      </c>
      <c r="S80">
        <f t="shared" si="40"/>
        <v>-0.5</v>
      </c>
      <c r="T80">
        <f t="shared" si="32"/>
        <v>3.8000000000000007</v>
      </c>
      <c r="U80"/>
      <c r="V80" t="b">
        <f>AA80=M80</f>
        <v>1</v>
      </c>
      <c r="W80" t="b">
        <f>AB80=N80</f>
        <v>1</v>
      </c>
      <c r="X80" t="b">
        <f>AC80=O80</f>
        <v>1</v>
      </c>
      <c r="Y80">
        <f t="shared" si="33"/>
        <v>2</v>
      </c>
      <c r="Z80" s="8">
        <f>A80/4</f>
        <v>2.5</v>
      </c>
      <c r="AA80" s="8">
        <f t="shared" si="34"/>
        <v>3</v>
      </c>
      <c r="AB80" s="8">
        <f t="shared" si="35"/>
        <v>6</v>
      </c>
      <c r="AC80" s="8">
        <f t="shared" si="36"/>
        <v>2</v>
      </c>
      <c r="AD80" s="1">
        <f t="shared" si="37"/>
        <v>0.89999999999999991</v>
      </c>
      <c r="AE80" s="1">
        <f t="shared" si="38"/>
        <v>2.4000000000000004</v>
      </c>
      <c r="AF80" s="1">
        <f t="shared" si="39"/>
        <v>1</v>
      </c>
      <c r="AG80" s="1">
        <f t="shared" si="24"/>
        <v>-0.5</v>
      </c>
      <c r="AH80" s="1">
        <f t="shared" si="25"/>
        <v>3.8000000000000007</v>
      </c>
      <c r="AI80" t="b">
        <f>AH80=T80</f>
        <v>1</v>
      </c>
    </row>
    <row r="81" spans="1:35" x14ac:dyDescent="0.25">
      <c r="A81" s="4">
        <f t="shared" si="41"/>
        <v>9</v>
      </c>
      <c r="B81" s="3" t="str">
        <f t="shared" si="42"/>
        <v>9</v>
      </c>
      <c r="C81" s="4" t="str">
        <f t="shared" si="43"/>
        <v>1001</v>
      </c>
      <c r="D81" s="4" t="str">
        <f t="shared" si="44"/>
        <v>1001</v>
      </c>
      <c r="E81" s="4" t="str">
        <f t="shared" si="45"/>
        <v>1001</v>
      </c>
      <c r="F81" s="4"/>
      <c r="H81" s="4"/>
      <c r="I81" s="13">
        <f t="shared" si="46"/>
        <v>0.3</v>
      </c>
      <c r="J81" s="14">
        <f t="shared" si="26"/>
        <v>1</v>
      </c>
      <c r="K81" s="14">
        <f t="shared" si="27"/>
        <v>0</v>
      </c>
      <c r="L81" s="14">
        <f t="shared" si="28"/>
        <v>0</v>
      </c>
      <c r="M81" s="14">
        <f>SUM($J81:$J$90)</f>
        <v>3</v>
      </c>
      <c r="N81" s="14">
        <f>SUM($K81:$K$90)</f>
        <v>5</v>
      </c>
      <c r="O81" s="14">
        <f>SUM($L81:$L$90)</f>
        <v>2</v>
      </c>
      <c r="P81">
        <f t="shared" si="29"/>
        <v>0.89999999999999991</v>
      </c>
      <c r="Q81">
        <f t="shared" si="30"/>
        <v>2</v>
      </c>
      <c r="R81">
        <f t="shared" si="31"/>
        <v>1</v>
      </c>
      <c r="S81">
        <f t="shared" si="40"/>
        <v>-0.5</v>
      </c>
      <c r="T81">
        <f t="shared" si="32"/>
        <v>3.4</v>
      </c>
      <c r="U81"/>
      <c r="V81" t="b">
        <f>AA81=M81</f>
        <v>1</v>
      </c>
      <c r="W81" t="b">
        <f>AB81=N81</f>
        <v>1</v>
      </c>
      <c r="X81" t="b">
        <f>AC81=O81</f>
        <v>1</v>
      </c>
      <c r="Y81">
        <f t="shared" si="33"/>
        <v>2</v>
      </c>
      <c r="Z81" s="8">
        <f>A81/4</f>
        <v>2.25</v>
      </c>
      <c r="AA81" s="8">
        <f t="shared" si="34"/>
        <v>3</v>
      </c>
      <c r="AB81" s="8">
        <f t="shared" si="35"/>
        <v>5</v>
      </c>
      <c r="AC81" s="8">
        <f t="shared" si="36"/>
        <v>2</v>
      </c>
      <c r="AD81" s="1">
        <f t="shared" si="37"/>
        <v>0.89999999999999991</v>
      </c>
      <c r="AE81" s="1">
        <f t="shared" si="38"/>
        <v>2</v>
      </c>
      <c r="AF81" s="1">
        <f t="shared" si="39"/>
        <v>1</v>
      </c>
      <c r="AG81" s="1">
        <f t="shared" si="24"/>
        <v>-0.5</v>
      </c>
      <c r="AH81" s="1">
        <f t="shared" si="25"/>
        <v>3.4</v>
      </c>
      <c r="AI81" t="b">
        <f>AH81=T81</f>
        <v>1</v>
      </c>
    </row>
    <row r="82" spans="1:35" x14ac:dyDescent="0.25">
      <c r="A82" s="4">
        <f t="shared" si="41"/>
        <v>8</v>
      </c>
      <c r="B82" s="3" t="str">
        <f t="shared" si="42"/>
        <v>8</v>
      </c>
      <c r="C82" s="4" t="str">
        <f t="shared" si="43"/>
        <v>1000</v>
      </c>
      <c r="D82" s="4" t="str">
        <f t="shared" si="44"/>
        <v>1000</v>
      </c>
      <c r="E82" s="4" t="str">
        <f t="shared" si="45"/>
        <v>1000</v>
      </c>
      <c r="F82" s="4"/>
      <c r="H82" s="4"/>
      <c r="I82" s="13">
        <f t="shared" si="46"/>
        <v>0.4</v>
      </c>
      <c r="J82" s="14">
        <f t="shared" si="26"/>
        <v>0</v>
      </c>
      <c r="K82" s="14">
        <f t="shared" si="27"/>
        <v>1</v>
      </c>
      <c r="L82" s="14">
        <f t="shared" si="28"/>
        <v>0</v>
      </c>
      <c r="M82" s="14">
        <f>SUM($J82:$J$90)</f>
        <v>2</v>
      </c>
      <c r="N82" s="14">
        <f>SUM($K82:$K$90)</f>
        <v>5</v>
      </c>
      <c r="O82" s="14">
        <f>SUM($L82:$L$90)</f>
        <v>2</v>
      </c>
      <c r="P82">
        <f t="shared" si="29"/>
        <v>0.6</v>
      </c>
      <c r="Q82">
        <f t="shared" si="30"/>
        <v>2</v>
      </c>
      <c r="R82">
        <f t="shared" si="31"/>
        <v>1</v>
      </c>
      <c r="S82">
        <f t="shared" si="40"/>
        <v>-0.5</v>
      </c>
      <c r="T82">
        <f t="shared" si="32"/>
        <v>3.1</v>
      </c>
      <c r="U82"/>
      <c r="V82" t="b">
        <f>AA82=M82</f>
        <v>1</v>
      </c>
      <c r="W82" t="b">
        <f>AB82=N82</f>
        <v>1</v>
      </c>
      <c r="X82" t="b">
        <f>AC82=O82</f>
        <v>1</v>
      </c>
      <c r="Y82">
        <f t="shared" si="33"/>
        <v>2</v>
      </c>
      <c r="Z82" s="8">
        <f>A82/4</f>
        <v>2</v>
      </c>
      <c r="AA82" s="8">
        <f t="shared" si="34"/>
        <v>2</v>
      </c>
      <c r="AB82" s="8">
        <f t="shared" si="35"/>
        <v>5</v>
      </c>
      <c r="AC82" s="8">
        <f t="shared" si="36"/>
        <v>2</v>
      </c>
      <c r="AD82" s="1">
        <f t="shared" si="37"/>
        <v>0.6</v>
      </c>
      <c r="AE82" s="1">
        <f t="shared" si="38"/>
        <v>2</v>
      </c>
      <c r="AF82" s="1">
        <f t="shared" si="39"/>
        <v>1</v>
      </c>
      <c r="AG82" s="1">
        <f t="shared" ref="AG82:AG90" si="47">AG81</f>
        <v>-0.5</v>
      </c>
      <c r="AH82" s="1">
        <f t="shared" ref="AH82:AH90" si="48">SUM(AD82:AG82)</f>
        <v>3.1</v>
      </c>
      <c r="AI82" t="b">
        <f>AH82=T82</f>
        <v>1</v>
      </c>
    </row>
    <row r="83" spans="1:35" x14ac:dyDescent="0.25">
      <c r="A83" s="4">
        <f t="shared" si="41"/>
        <v>7</v>
      </c>
      <c r="B83" s="3" t="str">
        <f t="shared" si="42"/>
        <v>7</v>
      </c>
      <c r="C83" s="4" t="str">
        <f t="shared" si="43"/>
        <v>111</v>
      </c>
      <c r="D83" s="4" t="str">
        <f t="shared" si="44"/>
        <v>111</v>
      </c>
      <c r="E83" s="4" t="str">
        <f t="shared" si="45"/>
        <v>111</v>
      </c>
      <c r="F83" s="4"/>
      <c r="H83" s="4"/>
      <c r="I83" s="13">
        <f t="shared" si="46"/>
        <v>0.5</v>
      </c>
      <c r="J83" s="14">
        <f t="shared" si="26"/>
        <v>0</v>
      </c>
      <c r="K83" s="14">
        <f t="shared" si="27"/>
        <v>0</v>
      </c>
      <c r="L83" s="14">
        <f t="shared" si="28"/>
        <v>1</v>
      </c>
      <c r="M83" s="14">
        <f>SUM($J83:$J$90)</f>
        <v>2</v>
      </c>
      <c r="N83" s="14">
        <f>SUM($K83:$K$90)</f>
        <v>4</v>
      </c>
      <c r="O83" s="14">
        <f>SUM($L83:$L$90)</f>
        <v>2</v>
      </c>
      <c r="P83">
        <f t="shared" si="29"/>
        <v>0.6</v>
      </c>
      <c r="Q83">
        <f t="shared" si="30"/>
        <v>1.6</v>
      </c>
      <c r="R83">
        <f t="shared" si="31"/>
        <v>1</v>
      </c>
      <c r="S83">
        <f t="shared" si="40"/>
        <v>-0.5</v>
      </c>
      <c r="T83">
        <f t="shared" si="32"/>
        <v>2.7</v>
      </c>
      <c r="U83"/>
      <c r="V83" t="b">
        <f>AA83=M83</f>
        <v>1</v>
      </c>
      <c r="W83" t="b">
        <f>AB83=N83</f>
        <v>1</v>
      </c>
      <c r="X83" t="b">
        <f>AC83=O83</f>
        <v>1</v>
      </c>
      <c r="Y83">
        <f t="shared" si="33"/>
        <v>1</v>
      </c>
      <c r="Z83" s="8">
        <f>A83/4</f>
        <v>1.75</v>
      </c>
      <c r="AA83" s="8">
        <f t="shared" si="34"/>
        <v>2</v>
      </c>
      <c r="AB83" s="8">
        <f t="shared" si="35"/>
        <v>4</v>
      </c>
      <c r="AC83" s="8">
        <f t="shared" si="36"/>
        <v>2</v>
      </c>
      <c r="AD83" s="1">
        <f t="shared" si="37"/>
        <v>0.6</v>
      </c>
      <c r="AE83" s="1">
        <f t="shared" si="38"/>
        <v>1.6</v>
      </c>
      <c r="AF83" s="1">
        <f t="shared" si="39"/>
        <v>1</v>
      </c>
      <c r="AG83" s="1">
        <f t="shared" si="47"/>
        <v>-0.5</v>
      </c>
      <c r="AH83" s="1">
        <f t="shared" si="48"/>
        <v>2.7</v>
      </c>
      <c r="AI83" t="b">
        <f>AH83=T83</f>
        <v>1</v>
      </c>
    </row>
    <row r="84" spans="1:35" x14ac:dyDescent="0.25">
      <c r="A84" s="4">
        <f t="shared" si="41"/>
        <v>6</v>
      </c>
      <c r="B84" s="3" t="str">
        <f t="shared" si="42"/>
        <v>6</v>
      </c>
      <c r="C84" s="4" t="str">
        <f t="shared" si="43"/>
        <v>110</v>
      </c>
      <c r="D84" s="4" t="str">
        <f t="shared" si="44"/>
        <v>110</v>
      </c>
      <c r="E84" s="4" t="str">
        <f t="shared" si="45"/>
        <v>110</v>
      </c>
      <c r="F84" s="4"/>
      <c r="H84" s="4"/>
      <c r="I84" s="13">
        <f t="shared" si="46"/>
        <v>0.4</v>
      </c>
      <c r="J84" s="14">
        <f t="shared" si="26"/>
        <v>0</v>
      </c>
      <c r="K84" s="14">
        <f t="shared" si="27"/>
        <v>1</v>
      </c>
      <c r="L84" s="14">
        <f t="shared" si="28"/>
        <v>0</v>
      </c>
      <c r="M84" s="14">
        <f>SUM($J84:$J$90)</f>
        <v>2</v>
      </c>
      <c r="N84" s="14">
        <f>SUM($K84:$K$90)</f>
        <v>4</v>
      </c>
      <c r="O84" s="14">
        <f>SUM($L84:$L$90)</f>
        <v>1</v>
      </c>
      <c r="P84">
        <f t="shared" si="29"/>
        <v>0.6</v>
      </c>
      <c r="Q84">
        <f t="shared" si="30"/>
        <v>1.6</v>
      </c>
      <c r="R84">
        <f t="shared" si="31"/>
        <v>0.5</v>
      </c>
      <c r="S84">
        <f t="shared" si="40"/>
        <v>-0.5</v>
      </c>
      <c r="T84">
        <f t="shared" si="32"/>
        <v>2.2000000000000002</v>
      </c>
      <c r="U84"/>
      <c r="V84" t="b">
        <f>AA84=M84</f>
        <v>1</v>
      </c>
      <c r="W84" t="b">
        <f>AB84=N84</f>
        <v>1</v>
      </c>
      <c r="X84" t="b">
        <f>AC84=O84</f>
        <v>1</v>
      </c>
      <c r="Y84">
        <f t="shared" si="33"/>
        <v>1</v>
      </c>
      <c r="Z84" s="8">
        <f>A84/4</f>
        <v>1.5</v>
      </c>
      <c r="AA84" s="8">
        <f t="shared" si="34"/>
        <v>2</v>
      </c>
      <c r="AB84" s="8">
        <f t="shared" si="35"/>
        <v>4</v>
      </c>
      <c r="AC84" s="8">
        <f t="shared" si="36"/>
        <v>1</v>
      </c>
      <c r="AD84" s="1">
        <f t="shared" si="37"/>
        <v>0.6</v>
      </c>
      <c r="AE84" s="1">
        <f t="shared" si="38"/>
        <v>1.6</v>
      </c>
      <c r="AF84" s="1">
        <f t="shared" si="39"/>
        <v>0.5</v>
      </c>
      <c r="AG84" s="1">
        <f t="shared" si="47"/>
        <v>-0.5</v>
      </c>
      <c r="AH84" s="1">
        <f t="shared" si="48"/>
        <v>2.2000000000000002</v>
      </c>
      <c r="AI84" t="b">
        <f>AH84=T84</f>
        <v>1</v>
      </c>
    </row>
    <row r="85" spans="1:35" x14ac:dyDescent="0.25">
      <c r="A85" s="4">
        <f t="shared" si="41"/>
        <v>5</v>
      </c>
      <c r="B85" s="3" t="str">
        <f t="shared" si="42"/>
        <v>5</v>
      </c>
      <c r="C85" s="4" t="str">
        <f t="shared" si="43"/>
        <v>101</v>
      </c>
      <c r="D85" s="4" t="str">
        <f t="shared" si="44"/>
        <v>101</v>
      </c>
      <c r="E85" s="4" t="str">
        <f t="shared" si="45"/>
        <v>101</v>
      </c>
      <c r="F85" s="4"/>
      <c r="H85" s="4"/>
      <c r="I85" s="13">
        <f t="shared" si="46"/>
        <v>0.3</v>
      </c>
      <c r="J85" s="14">
        <f t="shared" si="26"/>
        <v>1</v>
      </c>
      <c r="K85" s="14">
        <f t="shared" si="27"/>
        <v>0</v>
      </c>
      <c r="L85" s="14">
        <f t="shared" si="28"/>
        <v>0</v>
      </c>
      <c r="M85" s="14">
        <f>SUM($J85:$J$90)</f>
        <v>2</v>
      </c>
      <c r="N85" s="14">
        <f>SUM($K85:$K$90)</f>
        <v>3</v>
      </c>
      <c r="O85" s="14">
        <f>SUM($L85:$L$90)</f>
        <v>1</v>
      </c>
      <c r="P85">
        <f t="shared" si="29"/>
        <v>0.6</v>
      </c>
      <c r="Q85">
        <f t="shared" si="30"/>
        <v>1.2000000000000002</v>
      </c>
      <c r="R85">
        <f t="shared" si="31"/>
        <v>0.5</v>
      </c>
      <c r="S85">
        <f t="shared" si="40"/>
        <v>-0.5</v>
      </c>
      <c r="T85">
        <f t="shared" si="32"/>
        <v>1.8000000000000003</v>
      </c>
      <c r="U85"/>
      <c r="V85" t="b">
        <f>AA85=M85</f>
        <v>1</v>
      </c>
      <c r="W85" t="b">
        <f>AB85=N85</f>
        <v>1</v>
      </c>
      <c r="X85" t="b">
        <f>AC85=O85</f>
        <v>1</v>
      </c>
      <c r="Y85">
        <f t="shared" si="33"/>
        <v>1</v>
      </c>
      <c r="Z85" s="8">
        <f>A85/4</f>
        <v>1.25</v>
      </c>
      <c r="AA85" s="8">
        <f t="shared" si="34"/>
        <v>2</v>
      </c>
      <c r="AB85" s="8">
        <f t="shared" si="35"/>
        <v>3</v>
      </c>
      <c r="AC85" s="8">
        <f t="shared" si="36"/>
        <v>1</v>
      </c>
      <c r="AD85" s="1">
        <f t="shared" si="37"/>
        <v>0.6</v>
      </c>
      <c r="AE85" s="1">
        <f t="shared" si="38"/>
        <v>1.2000000000000002</v>
      </c>
      <c r="AF85" s="1">
        <f t="shared" si="39"/>
        <v>0.5</v>
      </c>
      <c r="AG85" s="1">
        <f t="shared" si="47"/>
        <v>-0.5</v>
      </c>
      <c r="AH85" s="1">
        <f t="shared" si="48"/>
        <v>1.8000000000000003</v>
      </c>
      <c r="AI85" t="b">
        <f>AH85=T85</f>
        <v>1</v>
      </c>
    </row>
    <row r="86" spans="1:35" x14ac:dyDescent="0.25">
      <c r="A86" s="4">
        <f t="shared" si="41"/>
        <v>4</v>
      </c>
      <c r="B86" s="3" t="str">
        <f t="shared" si="42"/>
        <v>4</v>
      </c>
      <c r="C86" s="4" t="str">
        <f t="shared" si="43"/>
        <v>100</v>
      </c>
      <c r="D86" s="4" t="str">
        <f t="shared" si="44"/>
        <v>100</v>
      </c>
      <c r="E86" s="4" t="str">
        <f t="shared" si="45"/>
        <v>100</v>
      </c>
      <c r="F86" s="4"/>
      <c r="H86" s="4"/>
      <c r="I86" s="13">
        <f t="shared" si="46"/>
        <v>0.4</v>
      </c>
      <c r="J86" s="14">
        <f t="shared" si="26"/>
        <v>0</v>
      </c>
      <c r="K86" s="14">
        <f t="shared" si="27"/>
        <v>1</v>
      </c>
      <c r="L86" s="14">
        <f t="shared" si="28"/>
        <v>0</v>
      </c>
      <c r="M86" s="14">
        <f>SUM($J86:$J$90)</f>
        <v>1</v>
      </c>
      <c r="N86" s="14">
        <f>SUM($K86:$K$90)</f>
        <v>3</v>
      </c>
      <c r="O86" s="14">
        <f>SUM($L86:$L$90)</f>
        <v>1</v>
      </c>
      <c r="P86">
        <f t="shared" si="29"/>
        <v>0.3</v>
      </c>
      <c r="Q86">
        <f t="shared" si="30"/>
        <v>1.2000000000000002</v>
      </c>
      <c r="R86">
        <f t="shared" si="31"/>
        <v>0.5</v>
      </c>
      <c r="S86">
        <f t="shared" si="40"/>
        <v>-0.5</v>
      </c>
      <c r="T86">
        <f t="shared" si="32"/>
        <v>1.5</v>
      </c>
      <c r="U86"/>
      <c r="V86" t="b">
        <f>AA86=M86</f>
        <v>1</v>
      </c>
      <c r="W86" t="b">
        <f>AB86=N86</f>
        <v>1</v>
      </c>
      <c r="X86" t="b">
        <f>AC86=O86</f>
        <v>1</v>
      </c>
      <c r="Y86">
        <f t="shared" si="33"/>
        <v>1</v>
      </c>
      <c r="Z86" s="8">
        <f>A86/4</f>
        <v>1</v>
      </c>
      <c r="AA86" s="8">
        <f t="shared" si="34"/>
        <v>1</v>
      </c>
      <c r="AB86" s="8">
        <f t="shared" si="35"/>
        <v>3</v>
      </c>
      <c r="AC86" s="8">
        <f t="shared" si="36"/>
        <v>1</v>
      </c>
      <c r="AD86" s="1">
        <f t="shared" si="37"/>
        <v>0.3</v>
      </c>
      <c r="AE86" s="1">
        <f t="shared" si="38"/>
        <v>1.2000000000000002</v>
      </c>
      <c r="AF86" s="1">
        <f t="shared" si="39"/>
        <v>0.5</v>
      </c>
      <c r="AG86" s="1">
        <f t="shared" si="47"/>
        <v>-0.5</v>
      </c>
      <c r="AH86" s="1">
        <f t="shared" si="48"/>
        <v>1.5</v>
      </c>
      <c r="AI86" t="b">
        <f>AH86=T86</f>
        <v>1</v>
      </c>
    </row>
    <row r="87" spans="1:35" x14ac:dyDescent="0.25">
      <c r="A87" s="4">
        <f t="shared" si="41"/>
        <v>3</v>
      </c>
      <c r="B87" s="3" t="str">
        <f t="shared" si="42"/>
        <v>3</v>
      </c>
      <c r="C87" s="4" t="str">
        <f t="shared" si="43"/>
        <v>11</v>
      </c>
      <c r="D87" s="4" t="str">
        <f t="shared" si="44"/>
        <v>11</v>
      </c>
      <c r="E87" s="4" t="str">
        <f t="shared" si="45"/>
        <v>11</v>
      </c>
      <c r="F87" s="4"/>
      <c r="H87" s="4"/>
      <c r="I87" s="13">
        <f t="shared" si="46"/>
        <v>0.5</v>
      </c>
      <c r="J87" s="14">
        <f t="shared" si="26"/>
        <v>0</v>
      </c>
      <c r="K87" s="14">
        <f t="shared" si="27"/>
        <v>0</v>
      </c>
      <c r="L87" s="14">
        <f t="shared" si="28"/>
        <v>1</v>
      </c>
      <c r="M87" s="14">
        <f>SUM($J87:$J$90)</f>
        <v>1</v>
      </c>
      <c r="N87" s="14">
        <f>SUM($K87:$K$90)</f>
        <v>2</v>
      </c>
      <c r="O87" s="14">
        <f>SUM($L87:$L$90)</f>
        <v>1</v>
      </c>
      <c r="P87">
        <f t="shared" si="29"/>
        <v>0.3</v>
      </c>
      <c r="Q87">
        <f t="shared" si="30"/>
        <v>0.8</v>
      </c>
      <c r="R87">
        <f t="shared" si="31"/>
        <v>0.5</v>
      </c>
      <c r="S87">
        <f t="shared" si="40"/>
        <v>-0.5</v>
      </c>
      <c r="T87">
        <f t="shared" si="32"/>
        <v>1.1000000000000001</v>
      </c>
      <c r="U87"/>
      <c r="V87" t="b">
        <f>AA87=M87</f>
        <v>1</v>
      </c>
      <c r="W87" t="b">
        <f>AB87=N87</f>
        <v>1</v>
      </c>
      <c r="X87" t="b">
        <f>AC87=O87</f>
        <v>1</v>
      </c>
      <c r="Y87">
        <f t="shared" si="33"/>
        <v>0</v>
      </c>
      <c r="Z87" s="8">
        <f>A87/4</f>
        <v>0.75</v>
      </c>
      <c r="AA87" s="8">
        <f t="shared" si="34"/>
        <v>1</v>
      </c>
      <c r="AB87" s="8">
        <f t="shared" si="35"/>
        <v>2</v>
      </c>
      <c r="AC87" s="8">
        <f t="shared" si="36"/>
        <v>1</v>
      </c>
      <c r="AD87" s="1">
        <f t="shared" si="37"/>
        <v>0.3</v>
      </c>
      <c r="AE87" s="1">
        <f t="shared" si="38"/>
        <v>0.8</v>
      </c>
      <c r="AF87" s="1">
        <f t="shared" si="39"/>
        <v>0.5</v>
      </c>
      <c r="AG87" s="1">
        <f t="shared" si="47"/>
        <v>-0.5</v>
      </c>
      <c r="AH87" s="1">
        <f t="shared" si="48"/>
        <v>1.1000000000000001</v>
      </c>
      <c r="AI87" t="b">
        <f>AH87=T87</f>
        <v>1</v>
      </c>
    </row>
    <row r="88" spans="1:35" x14ac:dyDescent="0.25">
      <c r="A88" s="4">
        <f t="shared" si="41"/>
        <v>2</v>
      </c>
      <c r="B88" s="3" t="str">
        <f t="shared" si="42"/>
        <v>2</v>
      </c>
      <c r="C88" s="4" t="str">
        <f t="shared" si="43"/>
        <v>10</v>
      </c>
      <c r="D88" s="4" t="str">
        <f t="shared" si="44"/>
        <v>10</v>
      </c>
      <c r="E88" s="4" t="str">
        <f t="shared" si="45"/>
        <v>10</v>
      </c>
      <c r="F88" s="4"/>
      <c r="H88" s="4"/>
      <c r="I88" s="13">
        <f t="shared" si="46"/>
        <v>0.4</v>
      </c>
      <c r="J88" s="14">
        <f t="shared" si="26"/>
        <v>0</v>
      </c>
      <c r="K88" s="14">
        <f t="shared" si="27"/>
        <v>1</v>
      </c>
      <c r="L88" s="14">
        <f t="shared" si="28"/>
        <v>0</v>
      </c>
      <c r="M88" s="14">
        <f>SUM($J88:$J$90)</f>
        <v>1</v>
      </c>
      <c r="N88" s="14">
        <f>SUM($K88:$K$90)</f>
        <v>2</v>
      </c>
      <c r="O88" s="14">
        <f>SUM($L88:$L$90)</f>
        <v>0</v>
      </c>
      <c r="P88">
        <f t="shared" si="29"/>
        <v>0.3</v>
      </c>
      <c r="Q88">
        <f t="shared" si="30"/>
        <v>0.8</v>
      </c>
      <c r="R88">
        <f t="shared" si="31"/>
        <v>0</v>
      </c>
      <c r="S88">
        <f t="shared" si="40"/>
        <v>-0.5</v>
      </c>
      <c r="T88">
        <f t="shared" si="32"/>
        <v>0.60000000000000009</v>
      </c>
      <c r="U88"/>
      <c r="V88" t="b">
        <f>AA88=M88</f>
        <v>1</v>
      </c>
      <c r="W88" t="b">
        <f>AB88=N88</f>
        <v>1</v>
      </c>
      <c r="X88" t="b">
        <f>AC88=O88</f>
        <v>1</v>
      </c>
      <c r="Y88">
        <f t="shared" si="33"/>
        <v>0</v>
      </c>
      <c r="Z88" s="8">
        <f>A88/4</f>
        <v>0.5</v>
      </c>
      <c r="AA88" s="8">
        <f t="shared" si="34"/>
        <v>1</v>
      </c>
      <c r="AB88" s="8">
        <f t="shared" si="35"/>
        <v>2</v>
      </c>
      <c r="AC88" s="8">
        <f t="shared" si="36"/>
        <v>0</v>
      </c>
      <c r="AD88" s="1">
        <f t="shared" si="37"/>
        <v>0.3</v>
      </c>
      <c r="AE88" s="1">
        <f t="shared" si="38"/>
        <v>0.8</v>
      </c>
      <c r="AF88" s="1">
        <f t="shared" si="39"/>
        <v>0</v>
      </c>
      <c r="AG88" s="1">
        <f t="shared" si="47"/>
        <v>-0.5</v>
      </c>
      <c r="AH88" s="1">
        <f t="shared" si="48"/>
        <v>0.60000000000000009</v>
      </c>
      <c r="AI88" t="b">
        <f>AH88=T88</f>
        <v>1</v>
      </c>
    </row>
    <row r="89" spans="1:35" x14ac:dyDescent="0.25">
      <c r="A89" s="4">
        <f t="shared" si="41"/>
        <v>1</v>
      </c>
      <c r="B89" s="3" t="str">
        <f t="shared" si="42"/>
        <v>1</v>
      </c>
      <c r="C89" s="4" t="str">
        <f t="shared" si="43"/>
        <v>1</v>
      </c>
      <c r="D89" s="4" t="str">
        <f t="shared" si="44"/>
        <v>1</v>
      </c>
      <c r="E89" s="4" t="str">
        <f t="shared" si="45"/>
        <v>1</v>
      </c>
      <c r="F89" s="4"/>
      <c r="H89" s="4"/>
      <c r="I89" s="13">
        <f t="shared" si="46"/>
        <v>0.3</v>
      </c>
      <c r="J89" s="14">
        <f t="shared" si="26"/>
        <v>1</v>
      </c>
      <c r="K89" s="14">
        <f t="shared" si="27"/>
        <v>0</v>
      </c>
      <c r="L89" s="14">
        <f t="shared" si="28"/>
        <v>0</v>
      </c>
      <c r="M89" s="14">
        <f>SUM($J89:$J$90)</f>
        <v>1</v>
      </c>
      <c r="N89" s="14">
        <f>SUM($K89:$K$90)</f>
        <v>1</v>
      </c>
      <c r="O89" s="14">
        <f>SUM($L89:$L$90)</f>
        <v>0</v>
      </c>
      <c r="P89">
        <f t="shared" si="29"/>
        <v>0.3</v>
      </c>
      <c r="Q89">
        <f t="shared" si="30"/>
        <v>0.4</v>
      </c>
      <c r="R89">
        <f t="shared" si="31"/>
        <v>0</v>
      </c>
      <c r="S89">
        <f t="shared" si="40"/>
        <v>-0.5</v>
      </c>
      <c r="T89">
        <f t="shared" si="32"/>
        <v>0.19999999999999996</v>
      </c>
      <c r="U89"/>
      <c r="V89" t="b">
        <f>AA89=M89</f>
        <v>1</v>
      </c>
      <c r="W89" t="b">
        <f>AB89=N89</f>
        <v>1</v>
      </c>
      <c r="X89" t="b">
        <f>AC89=O89</f>
        <v>1</v>
      </c>
      <c r="Y89">
        <f t="shared" si="33"/>
        <v>0</v>
      </c>
      <c r="Z89" s="8">
        <f>A89/4</f>
        <v>0.25</v>
      </c>
      <c r="AA89" s="8">
        <f t="shared" si="34"/>
        <v>1</v>
      </c>
      <c r="AB89" s="8">
        <f t="shared" si="35"/>
        <v>1</v>
      </c>
      <c r="AC89" s="8">
        <f t="shared" si="36"/>
        <v>0</v>
      </c>
      <c r="AD89" s="1">
        <f t="shared" si="37"/>
        <v>0.3</v>
      </c>
      <c r="AE89" s="1">
        <f t="shared" si="38"/>
        <v>0.4</v>
      </c>
      <c r="AF89" s="1">
        <f t="shared" si="39"/>
        <v>0</v>
      </c>
      <c r="AG89" s="1">
        <f t="shared" si="47"/>
        <v>-0.5</v>
      </c>
      <c r="AH89" s="1">
        <f t="shared" si="48"/>
        <v>0.19999999999999996</v>
      </c>
      <c r="AI89" t="b">
        <f>AH89=T89</f>
        <v>1</v>
      </c>
    </row>
    <row r="90" spans="1:35" x14ac:dyDescent="0.25">
      <c r="A90" s="4">
        <f t="shared" si="41"/>
        <v>0</v>
      </c>
      <c r="B90" s="3" t="str">
        <f t="shared" si="42"/>
        <v>0</v>
      </c>
      <c r="C90" s="4" t="str">
        <f t="shared" si="43"/>
        <v>0</v>
      </c>
      <c r="D90" s="4" t="str">
        <f t="shared" si="44"/>
        <v>0</v>
      </c>
      <c r="E90" s="4" t="str">
        <f t="shared" si="45"/>
        <v>0</v>
      </c>
      <c r="F90" s="4"/>
      <c r="H90" s="4"/>
      <c r="I90" s="13">
        <f t="shared" si="46"/>
        <v>0.4</v>
      </c>
      <c r="J90" s="14">
        <f t="shared" si="26"/>
        <v>0</v>
      </c>
      <c r="K90" s="14">
        <f t="shared" si="27"/>
        <v>1</v>
      </c>
      <c r="L90" s="14">
        <f t="shared" si="28"/>
        <v>0</v>
      </c>
      <c r="M90" s="14">
        <f>SUM($J90:$J$90)</f>
        <v>0</v>
      </c>
      <c r="N90" s="14">
        <f>SUM($K90:$K$90)</f>
        <v>1</v>
      </c>
      <c r="O90" s="14">
        <f>SUM($L90:$L$90)</f>
        <v>0</v>
      </c>
      <c r="P90">
        <f t="shared" si="29"/>
        <v>0</v>
      </c>
      <c r="Q90">
        <f t="shared" si="30"/>
        <v>0.4</v>
      </c>
      <c r="R90">
        <f t="shared" si="31"/>
        <v>0</v>
      </c>
      <c r="S90">
        <f>S89</f>
        <v>-0.5</v>
      </c>
      <c r="T90">
        <f t="shared" si="32"/>
        <v>-9.9999999999999978E-2</v>
      </c>
      <c r="U90"/>
      <c r="V90" t="b">
        <f>AA90=M90</f>
        <v>1</v>
      </c>
      <c r="W90" t="b">
        <f>AB90=N90</f>
        <v>1</v>
      </c>
      <c r="X90" t="b">
        <f>AC90=O90</f>
        <v>1</v>
      </c>
      <c r="Y90">
        <f t="shared" si="33"/>
        <v>0</v>
      </c>
      <c r="Z90" s="8">
        <f>A90/4</f>
        <v>0</v>
      </c>
      <c r="AA90" s="8">
        <f t="shared" si="34"/>
        <v>0</v>
      </c>
      <c r="AB90" s="8">
        <f t="shared" si="35"/>
        <v>1</v>
      </c>
      <c r="AC90" s="8">
        <f t="shared" si="36"/>
        <v>0</v>
      </c>
      <c r="AD90" s="1">
        <f t="shared" si="37"/>
        <v>0</v>
      </c>
      <c r="AE90" s="1">
        <f t="shared" si="38"/>
        <v>0.4</v>
      </c>
      <c r="AF90" s="1">
        <f t="shared" si="39"/>
        <v>0</v>
      </c>
      <c r="AG90" s="1">
        <f t="shared" si="47"/>
        <v>-0.5</v>
      </c>
      <c r="AH90" s="1">
        <f t="shared" si="48"/>
        <v>-9.9999999999999978E-2</v>
      </c>
      <c r="AI90" t="b">
        <f>AH90=T90</f>
        <v>1</v>
      </c>
    </row>
    <row r="91" spans="1:35" x14ac:dyDescent="0.25">
      <c r="A91" s="4"/>
      <c r="B91" s="3"/>
      <c r="C91" s="3"/>
      <c r="D91" s="7"/>
      <c r="E91" s="4"/>
      <c r="F91" s="4"/>
      <c r="H91" s="4"/>
    </row>
    <row r="92" spans="1:35" x14ac:dyDescent="0.25">
      <c r="A92" s="4"/>
      <c r="B92" s="3"/>
      <c r="C92" s="3"/>
      <c r="D92" s="7"/>
      <c r="E92" s="4"/>
      <c r="F92" s="4"/>
      <c r="H92" s="4"/>
    </row>
    <row r="93" spans="1:35" x14ac:dyDescent="0.25">
      <c r="A93" s="4"/>
      <c r="B93" s="3"/>
      <c r="C93" s="3"/>
      <c r="D93" s="7"/>
      <c r="E93" s="4"/>
      <c r="F93" s="4"/>
      <c r="H93" s="4"/>
    </row>
    <row r="94" spans="1:35" x14ac:dyDescent="0.25">
      <c r="A94" s="4"/>
      <c r="B94" s="3"/>
      <c r="C94" s="3"/>
      <c r="D94" s="7"/>
      <c r="E94" s="4"/>
      <c r="F94" s="4"/>
      <c r="H94" s="4"/>
    </row>
    <row r="95" spans="1:35" x14ac:dyDescent="0.25">
      <c r="A95" s="4"/>
      <c r="B95" s="3"/>
      <c r="C95" s="3"/>
      <c r="D95" s="7"/>
      <c r="E95" s="4"/>
      <c r="F95" s="4"/>
      <c r="H95" s="4"/>
    </row>
    <row r="96" spans="1:35" x14ac:dyDescent="0.25">
      <c r="A96" s="4"/>
      <c r="B96" s="3"/>
      <c r="C96" s="3"/>
      <c r="D96" s="7"/>
      <c r="E96" s="4"/>
      <c r="F96" s="4"/>
      <c r="H96" s="4"/>
    </row>
    <row r="97" spans="1:8" x14ac:dyDescent="0.25">
      <c r="A97" s="4"/>
      <c r="B97" s="3"/>
      <c r="C97" s="3"/>
      <c r="D97" s="7"/>
      <c r="E97" s="4"/>
      <c r="F97" s="4"/>
      <c r="H97" s="4"/>
    </row>
    <row r="98" spans="1:8" x14ac:dyDescent="0.25">
      <c r="A98" s="4"/>
      <c r="B98" s="3"/>
      <c r="C98" s="3"/>
      <c r="D98" s="7"/>
      <c r="E98" s="4"/>
      <c r="F98" s="4"/>
      <c r="H98" s="4"/>
    </row>
    <row r="99" spans="1:8" x14ac:dyDescent="0.25">
      <c r="A99" s="4"/>
      <c r="B99" s="3"/>
      <c r="C99" s="3"/>
      <c r="D99" s="7"/>
      <c r="E99" s="4"/>
      <c r="F99" s="4"/>
      <c r="H99" s="4"/>
    </row>
    <row r="100" spans="1:8" x14ac:dyDescent="0.25">
      <c r="A100" s="4"/>
      <c r="B100" s="3"/>
      <c r="C100" s="3"/>
      <c r="D100" s="7"/>
      <c r="E100" s="4"/>
      <c r="F100" s="4"/>
      <c r="H100" s="4"/>
    </row>
    <row r="101" spans="1:8" x14ac:dyDescent="0.25">
      <c r="A101" s="4"/>
      <c r="B101" s="3"/>
      <c r="C101" s="3"/>
      <c r="D101" s="7"/>
      <c r="E101" s="4"/>
      <c r="F101" s="4"/>
      <c r="H101" s="4"/>
    </row>
    <row r="102" spans="1:8" x14ac:dyDescent="0.25">
      <c r="A102" s="4"/>
      <c r="B102" s="3"/>
      <c r="C102" s="3"/>
      <c r="D102" s="7"/>
      <c r="E102" s="4"/>
      <c r="F102" s="4"/>
      <c r="H102" s="4"/>
    </row>
    <row r="103" spans="1:8" x14ac:dyDescent="0.25">
      <c r="A103" s="4"/>
      <c r="B103" s="3"/>
      <c r="C103" s="3"/>
      <c r="D103" s="7"/>
      <c r="E103" s="4"/>
      <c r="F103" s="4"/>
      <c r="H103" s="4"/>
    </row>
    <row r="104" spans="1:8" x14ac:dyDescent="0.25">
      <c r="A104" s="4"/>
      <c r="B104" s="3"/>
      <c r="C104" s="3"/>
      <c r="D104" s="7"/>
      <c r="E104" s="4"/>
      <c r="F104" s="4"/>
      <c r="H104" s="4"/>
    </row>
    <row r="105" spans="1:8" x14ac:dyDescent="0.25">
      <c r="A105" s="4"/>
      <c r="B105" s="3"/>
      <c r="C105" s="3"/>
      <c r="D105" s="7"/>
      <c r="E105" s="4"/>
      <c r="F105" s="4"/>
      <c r="H105" s="4"/>
    </row>
    <row r="106" spans="1:8" x14ac:dyDescent="0.25">
      <c r="A106" s="4"/>
      <c r="B106" s="3"/>
      <c r="C106" s="3"/>
      <c r="D106" s="7"/>
      <c r="E106" s="4"/>
      <c r="F106" s="4"/>
      <c r="H106" s="4"/>
    </row>
    <row r="107" spans="1:8" x14ac:dyDescent="0.25">
      <c r="A107" s="4"/>
      <c r="B107" s="3"/>
      <c r="C107" s="3"/>
      <c r="D107" s="7"/>
      <c r="E107" s="4"/>
      <c r="F107" s="8"/>
      <c r="H107" s="4"/>
    </row>
    <row r="108" spans="1:8" x14ac:dyDescent="0.25">
      <c r="A108" s="4"/>
      <c r="B108" s="3"/>
      <c r="C108" s="3"/>
      <c r="D108" s="7"/>
      <c r="E108" s="4"/>
      <c r="F108" s="8"/>
      <c r="G108" s="2"/>
      <c r="H108" s="4"/>
    </row>
    <row r="109" spans="1:8" x14ac:dyDescent="0.25">
      <c r="A109" s="4"/>
      <c r="B109" s="3"/>
      <c r="C109" s="3"/>
      <c r="D109" s="7"/>
      <c r="E109" s="4"/>
      <c r="F109" s="8"/>
      <c r="G109" s="2"/>
      <c r="H109" s="4"/>
    </row>
    <row r="110" spans="1:8" x14ac:dyDescent="0.25">
      <c r="A110" s="4"/>
      <c r="B110" s="3"/>
      <c r="C110" s="3"/>
      <c r="D110" s="7"/>
      <c r="E110" s="4"/>
      <c r="F110" s="8"/>
      <c r="G110" s="2"/>
      <c r="H110" s="4"/>
    </row>
    <row r="111" spans="1:8" x14ac:dyDescent="0.25">
      <c r="A111" s="4"/>
      <c r="B111" s="3"/>
      <c r="C111" s="3"/>
      <c r="D111" s="7"/>
      <c r="E111" s="4"/>
      <c r="F111" s="8"/>
      <c r="G111" s="2"/>
      <c r="H111" s="4"/>
    </row>
    <row r="112" spans="1:8" x14ac:dyDescent="0.25">
      <c r="A112" s="4"/>
      <c r="B112" s="3"/>
      <c r="C112" s="3"/>
      <c r="D112" s="7"/>
      <c r="E112" s="4"/>
      <c r="F112" s="8"/>
      <c r="G112" s="2"/>
      <c r="H112" s="4"/>
    </row>
    <row r="113" spans="1:8" x14ac:dyDescent="0.25">
      <c r="A113" s="4"/>
      <c r="B113" s="3"/>
      <c r="C113" s="3"/>
      <c r="D113" s="7"/>
      <c r="E113" s="4"/>
      <c r="F113" s="8"/>
      <c r="G113" s="2"/>
      <c r="H113" s="4"/>
    </row>
    <row r="114" spans="1:8" x14ac:dyDescent="0.25">
      <c r="A114" s="4"/>
      <c r="B114" s="3"/>
      <c r="C114" s="3"/>
      <c r="D114" s="7"/>
      <c r="E114" s="4"/>
      <c r="F114" s="8"/>
      <c r="G114" s="2"/>
      <c r="H114" s="4"/>
    </row>
    <row r="115" spans="1:8" x14ac:dyDescent="0.25">
      <c r="A115" s="4"/>
      <c r="B115" s="3"/>
      <c r="C115" s="3"/>
      <c r="D115" s="7"/>
      <c r="E115" s="4"/>
      <c r="F115" s="8"/>
      <c r="G115" s="2"/>
      <c r="H115" s="4"/>
    </row>
    <row r="116" spans="1:8" x14ac:dyDescent="0.25">
      <c r="A116" s="4"/>
      <c r="B116" s="3"/>
      <c r="C116" s="3"/>
      <c r="D116" s="7"/>
      <c r="E116" s="4"/>
      <c r="F116" s="8"/>
      <c r="G116" s="2"/>
      <c r="H116" s="4"/>
    </row>
    <row r="117" spans="1:8" x14ac:dyDescent="0.25">
      <c r="A117" s="4"/>
      <c r="B117" s="7"/>
      <c r="C117" s="4"/>
      <c r="D117" s="9"/>
      <c r="E117" s="1"/>
      <c r="F117" s="4"/>
      <c r="G117" s="2"/>
      <c r="H117" s="4"/>
    </row>
    <row r="118" spans="1:8" x14ac:dyDescent="0.25">
      <c r="A118" s="4"/>
      <c r="B118" s="4"/>
      <c r="C118" s="4"/>
      <c r="D118" s="4"/>
      <c r="E118" s="4"/>
      <c r="F118" s="1"/>
      <c r="G118" s="9"/>
      <c r="H118" s="7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3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</row>
    <row r="145" spans="1:1" x14ac:dyDescent="0.25">
      <c r="A145" s="4"/>
    </row>
    <row r="146" spans="1:1" x14ac:dyDescent="0.25">
      <c r="A146" s="4"/>
    </row>
  </sheetData>
  <autoFilter ref="A1:H1" xr:uid="{7F89BA48-0095-4542-9231-CE99C17A46A1}">
    <sortState xmlns:xlrd2="http://schemas.microsoft.com/office/spreadsheetml/2017/richdata2" ref="A2:H11">
      <sortCondition descending="1" ref="A1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EA13B-A56F-45D1-B068-4CB95553E99F}">
  <dimension ref="A1:P100"/>
  <sheetViews>
    <sheetView zoomScale="85" zoomScaleNormal="85" workbookViewId="0">
      <selection activeCell="F2" sqref="F2"/>
    </sheetView>
  </sheetViews>
  <sheetFormatPr defaultRowHeight="15" x14ac:dyDescent="0.25"/>
  <cols>
    <col min="1" max="1" width="3.140625" bestFit="1" customWidth="1"/>
    <col min="2" max="2" width="9.5703125" style="5" bestFit="1" customWidth="1"/>
    <col min="3" max="3" width="7.5703125" bestFit="1" customWidth="1"/>
    <col min="5" max="5" width="6.7109375" bestFit="1" customWidth="1"/>
  </cols>
  <sheetData>
    <row r="1" spans="1:16" x14ac:dyDescent="0.25">
      <c r="B1" s="3" t="s">
        <v>8</v>
      </c>
      <c r="C1" s="1" t="s">
        <v>9</v>
      </c>
      <c r="D1" s="6"/>
    </row>
    <row r="2" spans="1:16" x14ac:dyDescent="0.25">
      <c r="A2" s="4">
        <v>88</v>
      </c>
      <c r="B2" s="3">
        <v>35.1</v>
      </c>
      <c r="C2" s="3">
        <f>A2*0.4</f>
        <v>35.200000000000003</v>
      </c>
      <c r="D2" s="4">
        <f>MOD(A2,4)</f>
        <v>0</v>
      </c>
      <c r="E2" s="8">
        <f>C2-B2</f>
        <v>0.10000000000000142</v>
      </c>
      <c r="F2" s="1">
        <v>0</v>
      </c>
      <c r="G2" s="2">
        <v>0.1</v>
      </c>
      <c r="I2" s="4"/>
      <c r="J2" s="3"/>
      <c r="K2" s="4"/>
      <c r="L2" s="4"/>
      <c r="M2" s="4"/>
      <c r="N2" s="3"/>
      <c r="O2" s="2"/>
      <c r="P2" s="4"/>
    </row>
    <row r="3" spans="1:16" x14ac:dyDescent="0.25">
      <c r="A3" s="4">
        <v>87</v>
      </c>
      <c r="B3" s="3">
        <v>34.700000000000003</v>
      </c>
      <c r="C3" s="3">
        <f t="shared" ref="C3:C66" si="0">A3*0.4</f>
        <v>34.800000000000004</v>
      </c>
      <c r="D3" s="4">
        <f t="shared" ref="D3:D10" si="1">MOD(A3,4)</f>
        <v>3</v>
      </c>
      <c r="E3" s="8">
        <f t="shared" ref="E3:E11" si="2">C3-B3</f>
        <v>0.10000000000000142</v>
      </c>
      <c r="F3" s="1">
        <v>1</v>
      </c>
      <c r="G3" s="2">
        <v>0.2</v>
      </c>
      <c r="I3" s="1"/>
      <c r="J3" s="1"/>
      <c r="K3" s="1"/>
      <c r="L3" s="1"/>
      <c r="M3" s="1"/>
      <c r="N3" s="3"/>
      <c r="O3" s="2"/>
      <c r="P3" s="4"/>
    </row>
    <row r="4" spans="1:16" x14ac:dyDescent="0.25">
      <c r="A4" s="4">
        <v>86</v>
      </c>
      <c r="B4" s="3">
        <v>34.200000000000003</v>
      </c>
      <c r="C4" s="3">
        <f t="shared" si="0"/>
        <v>34.4</v>
      </c>
      <c r="D4" s="4">
        <f t="shared" si="1"/>
        <v>2</v>
      </c>
      <c r="E4" s="8">
        <f t="shared" si="2"/>
        <v>0.19999999999999574</v>
      </c>
      <c r="F4" s="1">
        <v>2</v>
      </c>
      <c r="G4" s="2">
        <v>0.2</v>
      </c>
      <c r="I4" s="1"/>
      <c r="J4" s="1"/>
      <c r="K4" s="1"/>
      <c r="L4" s="1"/>
      <c r="M4" s="1"/>
      <c r="N4" s="3"/>
      <c r="O4" s="2"/>
      <c r="P4" s="4"/>
    </row>
    <row r="5" spans="1:16" x14ac:dyDescent="0.25">
      <c r="A5" s="4">
        <v>85</v>
      </c>
      <c r="B5" s="3">
        <v>33.799999999999997</v>
      </c>
      <c r="C5" s="3">
        <f t="shared" si="0"/>
        <v>34</v>
      </c>
      <c r="D5" s="4">
        <f t="shared" si="1"/>
        <v>1</v>
      </c>
      <c r="E5" s="8">
        <f t="shared" si="2"/>
        <v>0.20000000000000284</v>
      </c>
      <c r="F5" s="1">
        <v>3</v>
      </c>
      <c r="G5" s="2">
        <v>0.1</v>
      </c>
      <c r="I5" s="4"/>
      <c r="J5" s="3"/>
      <c r="K5" s="4"/>
      <c r="L5" s="4"/>
      <c r="M5" s="4"/>
      <c r="N5" s="3"/>
      <c r="O5" s="2"/>
      <c r="P5" s="4"/>
    </row>
    <row r="6" spans="1:16" x14ac:dyDescent="0.25">
      <c r="A6" s="4">
        <v>84</v>
      </c>
      <c r="B6" s="3">
        <v>33.5</v>
      </c>
      <c r="C6" s="3">
        <f t="shared" si="0"/>
        <v>33.6</v>
      </c>
      <c r="D6" s="4">
        <f t="shared" si="1"/>
        <v>0</v>
      </c>
      <c r="E6" s="8">
        <f t="shared" si="2"/>
        <v>0.10000000000000142</v>
      </c>
      <c r="G6" s="2"/>
      <c r="I6" s="1"/>
      <c r="J6" s="1"/>
      <c r="K6" s="1"/>
      <c r="L6" s="1"/>
      <c r="M6" s="1"/>
      <c r="N6" s="3"/>
      <c r="O6" s="2"/>
      <c r="P6" s="4"/>
    </row>
    <row r="7" spans="1:16" x14ac:dyDescent="0.25">
      <c r="A7" s="4">
        <v>83</v>
      </c>
      <c r="B7" s="3">
        <v>33.1</v>
      </c>
      <c r="C7" s="3">
        <f t="shared" si="0"/>
        <v>33.200000000000003</v>
      </c>
      <c r="D7" s="4">
        <f t="shared" si="1"/>
        <v>3</v>
      </c>
      <c r="E7" s="8">
        <f t="shared" si="2"/>
        <v>0.10000000000000142</v>
      </c>
      <c r="G7" s="2"/>
      <c r="I7" s="4"/>
      <c r="J7" s="1"/>
      <c r="K7" s="1"/>
      <c r="L7" s="1"/>
      <c r="M7" s="1"/>
      <c r="N7" s="3"/>
      <c r="O7" s="2"/>
      <c r="P7" s="4"/>
    </row>
    <row r="8" spans="1:16" x14ac:dyDescent="0.25">
      <c r="A8" s="4">
        <v>82</v>
      </c>
      <c r="B8" s="3">
        <v>32.6</v>
      </c>
      <c r="C8" s="3">
        <f t="shared" si="0"/>
        <v>32.800000000000004</v>
      </c>
      <c r="D8" s="4">
        <f t="shared" si="1"/>
        <v>2</v>
      </c>
      <c r="E8" s="8">
        <f t="shared" si="2"/>
        <v>0.20000000000000284</v>
      </c>
      <c r="G8" s="2"/>
      <c r="I8" s="1"/>
      <c r="J8" s="1"/>
      <c r="K8" s="1"/>
      <c r="L8" s="1"/>
      <c r="M8" s="1"/>
      <c r="N8" s="3"/>
      <c r="O8" s="2"/>
      <c r="P8" s="4"/>
    </row>
    <row r="9" spans="1:16" x14ac:dyDescent="0.25">
      <c r="A9" s="4">
        <v>81</v>
      </c>
      <c r="B9" s="3">
        <v>32.200000000000003</v>
      </c>
      <c r="C9" s="3">
        <f t="shared" si="0"/>
        <v>32.4</v>
      </c>
      <c r="D9" s="4">
        <f t="shared" si="1"/>
        <v>1</v>
      </c>
      <c r="E9" s="8">
        <f t="shared" si="2"/>
        <v>0.19999999999999574</v>
      </c>
      <c r="G9" s="2"/>
    </row>
    <row r="10" spans="1:16" x14ac:dyDescent="0.25">
      <c r="A10" s="4">
        <v>80</v>
      </c>
      <c r="B10" s="3">
        <v>31.9</v>
      </c>
      <c r="C10" s="3">
        <f t="shared" si="0"/>
        <v>32</v>
      </c>
      <c r="D10" s="4">
        <f t="shared" si="1"/>
        <v>0</v>
      </c>
      <c r="E10" s="8">
        <f t="shared" si="2"/>
        <v>0.10000000000000142</v>
      </c>
      <c r="G10" s="2"/>
    </row>
    <row r="11" spans="1:16" x14ac:dyDescent="0.25">
      <c r="A11" s="4">
        <v>79</v>
      </c>
      <c r="B11" s="3">
        <v>31.5</v>
      </c>
      <c r="C11" s="3">
        <f t="shared" si="0"/>
        <v>31.6</v>
      </c>
      <c r="D11" s="4">
        <f>MOD(A11,4)</f>
        <v>3</v>
      </c>
      <c r="E11" s="8">
        <f t="shared" si="2"/>
        <v>0.10000000000000142</v>
      </c>
      <c r="G11" s="2"/>
    </row>
    <row r="12" spans="1:16" x14ac:dyDescent="0.25">
      <c r="A12" s="4">
        <v>78</v>
      </c>
      <c r="B12" s="3"/>
      <c r="C12" s="3">
        <f t="shared" si="0"/>
        <v>31.200000000000003</v>
      </c>
      <c r="D12" s="4">
        <f t="shared" ref="D12:D75" si="3">MOD(A12,4)</f>
        <v>2</v>
      </c>
      <c r="E12" s="4"/>
      <c r="G12" s="2"/>
    </row>
    <row r="13" spans="1:16" x14ac:dyDescent="0.25">
      <c r="A13" s="4">
        <v>77</v>
      </c>
      <c r="B13" s="3"/>
      <c r="C13" s="3">
        <f t="shared" si="0"/>
        <v>30.8</v>
      </c>
      <c r="D13" s="4">
        <f t="shared" si="3"/>
        <v>1</v>
      </c>
      <c r="E13" s="4"/>
      <c r="G13" s="2"/>
    </row>
    <row r="14" spans="1:16" x14ac:dyDescent="0.25">
      <c r="A14" s="4">
        <v>76</v>
      </c>
      <c r="B14" s="3"/>
      <c r="C14" s="3">
        <f t="shared" si="0"/>
        <v>30.400000000000002</v>
      </c>
      <c r="D14" s="4">
        <f t="shared" si="3"/>
        <v>0</v>
      </c>
      <c r="E14" s="4"/>
      <c r="G14" s="2"/>
    </row>
    <row r="15" spans="1:16" x14ac:dyDescent="0.25">
      <c r="A15" s="4">
        <v>75</v>
      </c>
      <c r="B15" s="3"/>
      <c r="C15" s="3">
        <f t="shared" si="0"/>
        <v>30</v>
      </c>
      <c r="D15" s="4">
        <f t="shared" si="3"/>
        <v>3</v>
      </c>
      <c r="E15" s="4"/>
      <c r="G15" s="2"/>
    </row>
    <row r="16" spans="1:16" x14ac:dyDescent="0.25">
      <c r="A16" s="4">
        <v>74</v>
      </c>
      <c r="B16" s="3"/>
      <c r="C16" s="3">
        <f t="shared" si="0"/>
        <v>29.6</v>
      </c>
      <c r="D16" s="4">
        <f t="shared" si="3"/>
        <v>2</v>
      </c>
      <c r="E16" s="4"/>
      <c r="G16" s="2"/>
    </row>
    <row r="17" spans="1:7" x14ac:dyDescent="0.25">
      <c r="A17" s="4">
        <v>73</v>
      </c>
      <c r="B17" s="3"/>
      <c r="C17" s="3">
        <f t="shared" si="0"/>
        <v>29.200000000000003</v>
      </c>
      <c r="D17" s="4">
        <f t="shared" si="3"/>
        <v>1</v>
      </c>
      <c r="E17" s="4"/>
      <c r="G17" s="2"/>
    </row>
    <row r="18" spans="1:7" x14ac:dyDescent="0.25">
      <c r="A18" s="4">
        <v>72</v>
      </c>
      <c r="B18" s="3"/>
      <c r="C18" s="3">
        <f t="shared" si="0"/>
        <v>28.8</v>
      </c>
      <c r="D18" s="4">
        <f t="shared" si="3"/>
        <v>0</v>
      </c>
      <c r="E18" s="4"/>
      <c r="G18" s="2"/>
    </row>
    <row r="19" spans="1:7" x14ac:dyDescent="0.25">
      <c r="A19" s="4">
        <v>71</v>
      </c>
      <c r="B19" s="3"/>
      <c r="C19" s="3">
        <f t="shared" si="0"/>
        <v>28.400000000000002</v>
      </c>
      <c r="D19" s="4">
        <f t="shared" si="3"/>
        <v>3</v>
      </c>
      <c r="E19" s="4"/>
      <c r="G19" s="2"/>
    </row>
    <row r="20" spans="1:7" x14ac:dyDescent="0.25">
      <c r="A20" s="4">
        <v>70</v>
      </c>
      <c r="B20" s="3"/>
      <c r="C20" s="3">
        <f t="shared" si="0"/>
        <v>28</v>
      </c>
      <c r="D20" s="4">
        <f t="shared" si="3"/>
        <v>2</v>
      </c>
      <c r="E20" s="4"/>
      <c r="G20" s="2"/>
    </row>
    <row r="21" spans="1:7" x14ac:dyDescent="0.25">
      <c r="A21" s="4">
        <v>69</v>
      </c>
      <c r="B21" s="3"/>
      <c r="C21" s="3">
        <f t="shared" si="0"/>
        <v>27.6</v>
      </c>
      <c r="D21" s="4">
        <f t="shared" si="3"/>
        <v>1</v>
      </c>
      <c r="E21" s="4"/>
      <c r="G21" s="2"/>
    </row>
    <row r="22" spans="1:7" x14ac:dyDescent="0.25">
      <c r="A22" s="4">
        <v>68</v>
      </c>
      <c r="B22" s="3"/>
      <c r="C22" s="3">
        <f t="shared" si="0"/>
        <v>27.200000000000003</v>
      </c>
      <c r="D22" s="4">
        <f t="shared" si="3"/>
        <v>0</v>
      </c>
      <c r="E22" s="4"/>
      <c r="G22" s="2"/>
    </row>
    <row r="23" spans="1:7" x14ac:dyDescent="0.25">
      <c r="A23" s="4">
        <v>67</v>
      </c>
      <c r="B23" s="3"/>
      <c r="C23" s="3">
        <f t="shared" si="0"/>
        <v>26.8</v>
      </c>
      <c r="D23" s="4">
        <f t="shared" si="3"/>
        <v>3</v>
      </c>
      <c r="E23" s="4"/>
      <c r="G23" s="2"/>
    </row>
    <row r="24" spans="1:7" x14ac:dyDescent="0.25">
      <c r="A24" s="4">
        <v>66</v>
      </c>
      <c r="B24" s="3"/>
      <c r="C24" s="3">
        <f t="shared" si="0"/>
        <v>26.400000000000002</v>
      </c>
      <c r="D24" s="4">
        <f t="shared" si="3"/>
        <v>2</v>
      </c>
      <c r="E24" s="4"/>
      <c r="G24" s="2"/>
    </row>
    <row r="25" spans="1:7" x14ac:dyDescent="0.25">
      <c r="A25" s="4">
        <v>65</v>
      </c>
      <c r="B25" s="3"/>
      <c r="C25" s="3">
        <f t="shared" si="0"/>
        <v>26</v>
      </c>
      <c r="D25" s="4">
        <f t="shared" si="3"/>
        <v>1</v>
      </c>
      <c r="E25" s="4"/>
      <c r="G25" s="2"/>
    </row>
    <row r="26" spans="1:7" x14ac:dyDescent="0.25">
      <c r="A26" s="4">
        <v>64</v>
      </c>
      <c r="B26" s="3"/>
      <c r="C26" s="3">
        <f t="shared" si="0"/>
        <v>25.6</v>
      </c>
      <c r="D26" s="4">
        <f t="shared" si="3"/>
        <v>0</v>
      </c>
      <c r="E26" s="4"/>
      <c r="G26" s="2"/>
    </row>
    <row r="27" spans="1:7" x14ac:dyDescent="0.25">
      <c r="A27" s="4">
        <v>63</v>
      </c>
      <c r="B27" s="3"/>
      <c r="C27" s="3">
        <f t="shared" si="0"/>
        <v>25.200000000000003</v>
      </c>
      <c r="D27" s="4">
        <f t="shared" si="3"/>
        <v>3</v>
      </c>
      <c r="E27" s="4"/>
      <c r="G27" s="2"/>
    </row>
    <row r="28" spans="1:7" x14ac:dyDescent="0.25">
      <c r="A28" s="4">
        <v>62</v>
      </c>
      <c r="B28" s="3"/>
      <c r="C28" s="3">
        <f t="shared" si="0"/>
        <v>24.8</v>
      </c>
      <c r="D28" s="4">
        <f t="shared" si="3"/>
        <v>2</v>
      </c>
      <c r="E28" s="4"/>
      <c r="G28" s="2"/>
    </row>
    <row r="29" spans="1:7" x14ac:dyDescent="0.25">
      <c r="A29" s="4">
        <v>61</v>
      </c>
      <c r="B29" s="3"/>
      <c r="C29" s="3">
        <f t="shared" si="0"/>
        <v>24.400000000000002</v>
      </c>
      <c r="D29" s="4">
        <f t="shared" si="3"/>
        <v>1</v>
      </c>
      <c r="E29" s="4"/>
      <c r="G29" s="2"/>
    </row>
    <row r="30" spans="1:7" x14ac:dyDescent="0.25">
      <c r="A30" s="4">
        <v>60</v>
      </c>
      <c r="B30" s="3"/>
      <c r="C30" s="3">
        <f t="shared" si="0"/>
        <v>24</v>
      </c>
      <c r="D30" s="4">
        <f t="shared" si="3"/>
        <v>0</v>
      </c>
      <c r="E30" s="4"/>
      <c r="G30" s="2"/>
    </row>
    <row r="31" spans="1:7" x14ac:dyDescent="0.25">
      <c r="A31" s="4">
        <v>59</v>
      </c>
      <c r="B31" s="3"/>
      <c r="C31" s="3">
        <f t="shared" si="0"/>
        <v>23.6</v>
      </c>
      <c r="D31" s="4">
        <f t="shared" si="3"/>
        <v>3</v>
      </c>
      <c r="E31" s="4"/>
      <c r="G31" s="2"/>
    </row>
    <row r="32" spans="1:7" x14ac:dyDescent="0.25">
      <c r="A32" s="4">
        <v>58</v>
      </c>
      <c r="B32" s="3"/>
      <c r="C32" s="3">
        <f t="shared" si="0"/>
        <v>23.200000000000003</v>
      </c>
      <c r="D32" s="4">
        <f t="shared" si="3"/>
        <v>2</v>
      </c>
      <c r="E32" s="4"/>
      <c r="G32" s="2"/>
    </row>
    <row r="33" spans="1:7" x14ac:dyDescent="0.25">
      <c r="A33" s="4">
        <v>57</v>
      </c>
      <c r="B33" s="3"/>
      <c r="C33" s="3">
        <f t="shared" si="0"/>
        <v>22.8</v>
      </c>
      <c r="D33" s="4">
        <f t="shared" si="3"/>
        <v>1</v>
      </c>
      <c r="E33" s="4"/>
      <c r="G33" s="2"/>
    </row>
    <row r="34" spans="1:7" x14ac:dyDescent="0.25">
      <c r="A34" s="4">
        <v>56</v>
      </c>
      <c r="B34" s="3"/>
      <c r="C34" s="3">
        <f t="shared" si="0"/>
        <v>22.400000000000002</v>
      </c>
      <c r="D34" s="4">
        <f t="shared" si="3"/>
        <v>0</v>
      </c>
      <c r="E34" s="4"/>
      <c r="G34" s="2"/>
    </row>
    <row r="35" spans="1:7" x14ac:dyDescent="0.25">
      <c r="A35" s="4">
        <v>55</v>
      </c>
      <c r="B35" s="3"/>
      <c r="C35" s="3">
        <f t="shared" si="0"/>
        <v>22</v>
      </c>
      <c r="D35" s="4">
        <f t="shared" si="3"/>
        <v>3</v>
      </c>
      <c r="E35" s="4"/>
      <c r="G35" s="2"/>
    </row>
    <row r="36" spans="1:7" x14ac:dyDescent="0.25">
      <c r="A36" s="4">
        <v>54</v>
      </c>
      <c r="B36" s="3"/>
      <c r="C36" s="3">
        <f t="shared" si="0"/>
        <v>21.6</v>
      </c>
      <c r="D36" s="4">
        <f t="shared" si="3"/>
        <v>2</v>
      </c>
      <c r="E36" s="4"/>
      <c r="G36" s="2"/>
    </row>
    <row r="37" spans="1:7" x14ac:dyDescent="0.25">
      <c r="A37" s="4">
        <v>53</v>
      </c>
      <c r="B37" s="3"/>
      <c r="C37" s="3">
        <f t="shared" si="0"/>
        <v>21.200000000000003</v>
      </c>
      <c r="D37" s="4">
        <f t="shared" si="3"/>
        <v>1</v>
      </c>
      <c r="E37" s="4"/>
      <c r="G37" s="2"/>
    </row>
    <row r="38" spans="1:7" x14ac:dyDescent="0.25">
      <c r="A38" s="4">
        <v>52</v>
      </c>
      <c r="B38" s="3"/>
      <c r="C38" s="3">
        <f t="shared" si="0"/>
        <v>20.8</v>
      </c>
      <c r="D38" s="4">
        <f t="shared" si="3"/>
        <v>0</v>
      </c>
      <c r="E38" s="4"/>
      <c r="G38" s="2"/>
    </row>
    <row r="39" spans="1:7" x14ac:dyDescent="0.25">
      <c r="A39" s="4">
        <v>51</v>
      </c>
      <c r="B39" s="3"/>
      <c r="C39" s="3">
        <f t="shared" si="0"/>
        <v>20.400000000000002</v>
      </c>
      <c r="D39" s="4">
        <f t="shared" si="3"/>
        <v>3</v>
      </c>
      <c r="E39" s="4"/>
      <c r="G39" s="2"/>
    </row>
    <row r="40" spans="1:7" x14ac:dyDescent="0.25">
      <c r="A40" s="4">
        <v>50</v>
      </c>
      <c r="B40" s="3"/>
      <c r="C40" s="3">
        <f t="shared" si="0"/>
        <v>20</v>
      </c>
      <c r="D40" s="4">
        <f t="shared" si="3"/>
        <v>2</v>
      </c>
      <c r="E40" s="4"/>
      <c r="G40" s="2"/>
    </row>
    <row r="41" spans="1:7" x14ac:dyDescent="0.25">
      <c r="A41" s="4">
        <v>49</v>
      </c>
      <c r="B41" s="3"/>
      <c r="C41" s="3">
        <f t="shared" si="0"/>
        <v>19.600000000000001</v>
      </c>
      <c r="D41" s="4">
        <f t="shared" si="3"/>
        <v>1</v>
      </c>
      <c r="E41" s="4"/>
      <c r="G41" s="2"/>
    </row>
    <row r="42" spans="1:7" x14ac:dyDescent="0.25">
      <c r="A42" s="4">
        <v>48</v>
      </c>
      <c r="B42" s="3"/>
      <c r="C42" s="3">
        <f t="shared" si="0"/>
        <v>19.200000000000003</v>
      </c>
      <c r="D42" s="4">
        <f t="shared" si="3"/>
        <v>0</v>
      </c>
      <c r="E42" s="4"/>
      <c r="G42" s="2"/>
    </row>
    <row r="43" spans="1:7" x14ac:dyDescent="0.25">
      <c r="A43" s="4">
        <v>47</v>
      </c>
      <c r="B43" s="3"/>
      <c r="C43" s="3">
        <f t="shared" si="0"/>
        <v>18.8</v>
      </c>
      <c r="D43" s="4">
        <f t="shared" si="3"/>
        <v>3</v>
      </c>
      <c r="E43" s="4"/>
      <c r="G43" s="2"/>
    </row>
    <row r="44" spans="1:7" x14ac:dyDescent="0.25">
      <c r="A44" s="4">
        <v>46</v>
      </c>
      <c r="B44" s="3"/>
      <c r="C44" s="3">
        <f t="shared" si="0"/>
        <v>18.400000000000002</v>
      </c>
      <c r="D44" s="4">
        <f t="shared" si="3"/>
        <v>2</v>
      </c>
      <c r="E44" s="4"/>
      <c r="G44" s="2"/>
    </row>
    <row r="45" spans="1:7" x14ac:dyDescent="0.25">
      <c r="A45" s="4">
        <v>45</v>
      </c>
      <c r="B45" s="3"/>
      <c r="C45" s="3">
        <f t="shared" si="0"/>
        <v>18</v>
      </c>
      <c r="D45" s="4">
        <f t="shared" si="3"/>
        <v>1</v>
      </c>
      <c r="E45" s="4"/>
      <c r="G45" s="2"/>
    </row>
    <row r="46" spans="1:7" x14ac:dyDescent="0.25">
      <c r="A46" s="4">
        <v>44</v>
      </c>
      <c r="B46" s="3"/>
      <c r="C46" s="3">
        <f t="shared" si="0"/>
        <v>17.600000000000001</v>
      </c>
      <c r="D46" s="4">
        <f t="shared" si="3"/>
        <v>0</v>
      </c>
      <c r="E46" s="4"/>
      <c r="G46" s="2"/>
    </row>
    <row r="47" spans="1:7" x14ac:dyDescent="0.25">
      <c r="A47" s="4">
        <v>43</v>
      </c>
      <c r="B47" s="3"/>
      <c r="C47" s="3">
        <f t="shared" si="0"/>
        <v>17.2</v>
      </c>
      <c r="D47" s="4">
        <f t="shared" si="3"/>
        <v>3</v>
      </c>
      <c r="E47" s="4"/>
      <c r="G47" s="2"/>
    </row>
    <row r="48" spans="1:7" x14ac:dyDescent="0.25">
      <c r="A48" s="4">
        <v>42</v>
      </c>
      <c r="B48" s="3"/>
      <c r="C48" s="3">
        <f t="shared" si="0"/>
        <v>16.8</v>
      </c>
      <c r="D48" s="4">
        <f t="shared" si="3"/>
        <v>2</v>
      </c>
      <c r="E48" s="4"/>
      <c r="G48" s="2"/>
    </row>
    <row r="49" spans="1:7" x14ac:dyDescent="0.25">
      <c r="A49" s="4">
        <v>41</v>
      </c>
      <c r="B49" s="3"/>
      <c r="C49" s="3">
        <f t="shared" si="0"/>
        <v>16.400000000000002</v>
      </c>
      <c r="D49" s="4">
        <f t="shared" si="3"/>
        <v>1</v>
      </c>
      <c r="E49" s="4"/>
      <c r="G49" s="2"/>
    </row>
    <row r="50" spans="1:7" x14ac:dyDescent="0.25">
      <c r="A50" s="4">
        <v>40</v>
      </c>
      <c r="B50" s="3"/>
      <c r="C50" s="3">
        <f t="shared" si="0"/>
        <v>16</v>
      </c>
      <c r="D50" s="4">
        <f t="shared" si="3"/>
        <v>0</v>
      </c>
      <c r="E50" s="4"/>
      <c r="G50" s="2"/>
    </row>
    <row r="51" spans="1:7" x14ac:dyDescent="0.25">
      <c r="A51" s="4">
        <v>39</v>
      </c>
      <c r="B51" s="3"/>
      <c r="C51" s="3">
        <f t="shared" si="0"/>
        <v>15.600000000000001</v>
      </c>
      <c r="D51" s="4">
        <f t="shared" si="3"/>
        <v>3</v>
      </c>
      <c r="E51" s="4"/>
      <c r="G51" s="2"/>
    </row>
    <row r="52" spans="1:7" x14ac:dyDescent="0.25">
      <c r="A52" s="4">
        <v>38</v>
      </c>
      <c r="B52" s="3"/>
      <c r="C52" s="3">
        <f t="shared" si="0"/>
        <v>15.200000000000001</v>
      </c>
      <c r="D52" s="4">
        <f t="shared" si="3"/>
        <v>2</v>
      </c>
      <c r="E52" s="4"/>
      <c r="G52" s="2"/>
    </row>
    <row r="53" spans="1:7" x14ac:dyDescent="0.25">
      <c r="A53" s="4">
        <v>37</v>
      </c>
      <c r="B53" s="3"/>
      <c r="C53" s="3">
        <f t="shared" si="0"/>
        <v>14.8</v>
      </c>
      <c r="D53" s="4">
        <f t="shared" si="3"/>
        <v>1</v>
      </c>
      <c r="E53" s="4"/>
      <c r="G53" s="2"/>
    </row>
    <row r="54" spans="1:7" x14ac:dyDescent="0.25">
      <c r="A54" s="4">
        <v>36</v>
      </c>
      <c r="B54" s="3"/>
      <c r="C54" s="3">
        <f t="shared" si="0"/>
        <v>14.4</v>
      </c>
      <c r="D54" s="4">
        <f t="shared" si="3"/>
        <v>0</v>
      </c>
      <c r="E54" s="4"/>
      <c r="G54" s="2"/>
    </row>
    <row r="55" spans="1:7" x14ac:dyDescent="0.25">
      <c r="A55" s="4">
        <v>35</v>
      </c>
      <c r="B55" s="3"/>
      <c r="C55" s="3">
        <f t="shared" si="0"/>
        <v>14</v>
      </c>
      <c r="D55" s="4">
        <f t="shared" si="3"/>
        <v>3</v>
      </c>
      <c r="E55" s="4"/>
      <c r="G55" s="2"/>
    </row>
    <row r="56" spans="1:7" x14ac:dyDescent="0.25">
      <c r="A56" s="4">
        <v>34</v>
      </c>
      <c r="B56" s="3"/>
      <c r="C56" s="3">
        <f t="shared" si="0"/>
        <v>13.600000000000001</v>
      </c>
      <c r="D56" s="4">
        <f t="shared" si="3"/>
        <v>2</v>
      </c>
      <c r="E56" s="4"/>
      <c r="G56" s="2"/>
    </row>
    <row r="57" spans="1:7" x14ac:dyDescent="0.25">
      <c r="A57" s="4">
        <v>33</v>
      </c>
      <c r="B57" s="3"/>
      <c r="C57" s="3">
        <f t="shared" si="0"/>
        <v>13.200000000000001</v>
      </c>
      <c r="D57" s="4">
        <f t="shared" si="3"/>
        <v>1</v>
      </c>
      <c r="E57" s="4"/>
      <c r="G57" s="2"/>
    </row>
    <row r="58" spans="1:7" x14ac:dyDescent="0.25">
      <c r="A58" s="4">
        <v>32</v>
      </c>
      <c r="B58" s="3"/>
      <c r="C58" s="3">
        <f t="shared" si="0"/>
        <v>12.8</v>
      </c>
      <c r="D58" s="4">
        <f t="shared" si="3"/>
        <v>0</v>
      </c>
      <c r="E58" s="4"/>
      <c r="G58" s="2"/>
    </row>
    <row r="59" spans="1:7" x14ac:dyDescent="0.25">
      <c r="A59" s="4">
        <v>31</v>
      </c>
      <c r="B59" s="3"/>
      <c r="C59" s="3">
        <f t="shared" si="0"/>
        <v>12.4</v>
      </c>
      <c r="D59" s="4">
        <f t="shared" si="3"/>
        <v>3</v>
      </c>
      <c r="E59" s="4"/>
      <c r="G59" s="2"/>
    </row>
    <row r="60" spans="1:7" x14ac:dyDescent="0.25">
      <c r="A60" s="4">
        <v>30</v>
      </c>
      <c r="B60" s="3"/>
      <c r="C60" s="3">
        <f t="shared" si="0"/>
        <v>12</v>
      </c>
      <c r="D60" s="4">
        <f t="shared" si="3"/>
        <v>2</v>
      </c>
      <c r="E60" s="4"/>
      <c r="G60" s="2"/>
    </row>
    <row r="61" spans="1:7" x14ac:dyDescent="0.25">
      <c r="A61" s="4">
        <v>29</v>
      </c>
      <c r="B61" s="3"/>
      <c r="C61" s="3">
        <f t="shared" si="0"/>
        <v>11.600000000000001</v>
      </c>
      <c r="D61" s="4">
        <f t="shared" si="3"/>
        <v>1</v>
      </c>
      <c r="E61" s="4"/>
      <c r="G61" s="2"/>
    </row>
    <row r="62" spans="1:7" x14ac:dyDescent="0.25">
      <c r="A62" s="4">
        <v>28</v>
      </c>
      <c r="B62" s="3"/>
      <c r="C62" s="3">
        <f t="shared" si="0"/>
        <v>11.200000000000001</v>
      </c>
      <c r="D62" s="4">
        <f t="shared" si="3"/>
        <v>0</v>
      </c>
      <c r="E62" s="4"/>
      <c r="G62" s="2"/>
    </row>
    <row r="63" spans="1:7" x14ac:dyDescent="0.25">
      <c r="A63" s="4">
        <v>27</v>
      </c>
      <c r="B63" s="3"/>
      <c r="C63" s="3">
        <f t="shared" si="0"/>
        <v>10.8</v>
      </c>
      <c r="D63" s="4">
        <f t="shared" si="3"/>
        <v>3</v>
      </c>
      <c r="E63" s="4"/>
      <c r="G63" s="2"/>
    </row>
    <row r="64" spans="1:7" x14ac:dyDescent="0.25">
      <c r="A64" s="4">
        <v>26</v>
      </c>
      <c r="B64" s="3"/>
      <c r="C64" s="3">
        <f t="shared" si="0"/>
        <v>10.4</v>
      </c>
      <c r="D64" s="4">
        <f t="shared" si="3"/>
        <v>2</v>
      </c>
      <c r="E64" s="4"/>
      <c r="G64" s="2"/>
    </row>
    <row r="65" spans="1:7" x14ac:dyDescent="0.25">
      <c r="A65" s="4">
        <v>25</v>
      </c>
      <c r="B65" s="3"/>
      <c r="C65" s="3">
        <f t="shared" si="0"/>
        <v>10</v>
      </c>
      <c r="D65" s="4">
        <f t="shared" si="3"/>
        <v>1</v>
      </c>
      <c r="E65" s="4"/>
      <c r="G65" s="2"/>
    </row>
    <row r="66" spans="1:7" x14ac:dyDescent="0.25">
      <c r="A66" s="4">
        <v>24</v>
      </c>
      <c r="B66" s="3"/>
      <c r="C66" s="3">
        <f t="shared" si="0"/>
        <v>9.6000000000000014</v>
      </c>
      <c r="D66" s="4">
        <f t="shared" si="3"/>
        <v>0</v>
      </c>
      <c r="E66" s="4"/>
      <c r="G66" s="2"/>
    </row>
    <row r="67" spans="1:7" x14ac:dyDescent="0.25">
      <c r="A67" s="4">
        <v>23</v>
      </c>
      <c r="B67" s="3"/>
      <c r="C67" s="3">
        <f t="shared" ref="C67:C90" si="4">A67*0.4</f>
        <v>9.2000000000000011</v>
      </c>
      <c r="D67" s="4">
        <f t="shared" si="3"/>
        <v>3</v>
      </c>
      <c r="E67" s="4"/>
      <c r="G67" s="2"/>
    </row>
    <row r="68" spans="1:7" x14ac:dyDescent="0.25">
      <c r="A68" s="4">
        <v>22</v>
      </c>
      <c r="B68" s="3"/>
      <c r="C68" s="3">
        <f t="shared" si="4"/>
        <v>8.8000000000000007</v>
      </c>
      <c r="D68" s="4">
        <f t="shared" si="3"/>
        <v>2</v>
      </c>
      <c r="E68" s="4"/>
      <c r="G68" s="2"/>
    </row>
    <row r="69" spans="1:7" x14ac:dyDescent="0.25">
      <c r="A69" s="4">
        <v>21</v>
      </c>
      <c r="B69" s="3"/>
      <c r="C69" s="3">
        <f t="shared" si="4"/>
        <v>8.4</v>
      </c>
      <c r="D69" s="4">
        <f t="shared" si="3"/>
        <v>1</v>
      </c>
      <c r="E69" s="4"/>
      <c r="G69" s="2"/>
    </row>
    <row r="70" spans="1:7" x14ac:dyDescent="0.25">
      <c r="A70" s="4">
        <v>20</v>
      </c>
      <c r="B70" s="3"/>
      <c r="C70" s="3">
        <f t="shared" si="4"/>
        <v>8</v>
      </c>
      <c r="D70" s="4">
        <f t="shared" si="3"/>
        <v>0</v>
      </c>
      <c r="E70" s="4"/>
      <c r="G70" s="2"/>
    </row>
    <row r="71" spans="1:7" x14ac:dyDescent="0.25">
      <c r="A71" s="4">
        <v>19</v>
      </c>
      <c r="B71" s="3"/>
      <c r="C71" s="3">
        <f t="shared" si="4"/>
        <v>7.6000000000000005</v>
      </c>
      <c r="D71" s="4">
        <f t="shared" si="3"/>
        <v>3</v>
      </c>
      <c r="E71" s="4"/>
      <c r="G71" s="2"/>
    </row>
    <row r="72" spans="1:7" x14ac:dyDescent="0.25">
      <c r="A72" s="4">
        <v>18</v>
      </c>
      <c r="B72" s="3"/>
      <c r="C72" s="3">
        <f t="shared" si="4"/>
        <v>7.2</v>
      </c>
      <c r="D72" s="4">
        <f t="shared" si="3"/>
        <v>2</v>
      </c>
      <c r="E72" s="4"/>
      <c r="G72" s="2"/>
    </row>
    <row r="73" spans="1:7" x14ac:dyDescent="0.25">
      <c r="A73" s="4">
        <v>17</v>
      </c>
      <c r="B73" s="3"/>
      <c r="C73" s="3">
        <f t="shared" si="4"/>
        <v>6.8000000000000007</v>
      </c>
      <c r="D73" s="4">
        <f t="shared" si="3"/>
        <v>1</v>
      </c>
      <c r="E73" s="4"/>
      <c r="G73" s="2"/>
    </row>
    <row r="74" spans="1:7" x14ac:dyDescent="0.25">
      <c r="A74" s="4">
        <v>16</v>
      </c>
      <c r="B74" s="3"/>
      <c r="C74" s="3">
        <f t="shared" si="4"/>
        <v>6.4</v>
      </c>
      <c r="D74" s="4">
        <f t="shared" si="3"/>
        <v>0</v>
      </c>
      <c r="E74" s="4"/>
      <c r="G74" s="2"/>
    </row>
    <row r="75" spans="1:7" x14ac:dyDescent="0.25">
      <c r="A75" s="4">
        <v>15</v>
      </c>
      <c r="B75" s="3"/>
      <c r="C75" s="3">
        <f t="shared" si="4"/>
        <v>6</v>
      </c>
      <c r="D75" s="4">
        <f t="shared" si="3"/>
        <v>3</v>
      </c>
      <c r="E75" s="4"/>
      <c r="G75" s="2"/>
    </row>
    <row r="76" spans="1:7" x14ac:dyDescent="0.25">
      <c r="A76" s="4">
        <v>14</v>
      </c>
      <c r="B76" s="3"/>
      <c r="C76" s="3">
        <f t="shared" si="4"/>
        <v>5.6000000000000005</v>
      </c>
      <c r="D76" s="4">
        <f t="shared" ref="D76:D90" si="5">MOD(A76,4)</f>
        <v>2</v>
      </c>
      <c r="E76" s="4"/>
      <c r="G76" s="2"/>
    </row>
    <row r="77" spans="1:7" x14ac:dyDescent="0.25">
      <c r="A77" s="4">
        <v>13</v>
      </c>
      <c r="B77" s="3"/>
      <c r="C77" s="3">
        <f t="shared" si="4"/>
        <v>5.2</v>
      </c>
      <c r="D77" s="4">
        <f t="shared" si="5"/>
        <v>1</v>
      </c>
      <c r="E77" s="4"/>
      <c r="G77" s="2"/>
    </row>
    <row r="78" spans="1:7" x14ac:dyDescent="0.25">
      <c r="A78" s="4">
        <v>12</v>
      </c>
      <c r="B78" s="3"/>
      <c r="C78" s="3">
        <f t="shared" si="4"/>
        <v>4.8000000000000007</v>
      </c>
      <c r="D78" s="4">
        <f t="shared" si="5"/>
        <v>0</v>
      </c>
      <c r="E78" s="4"/>
      <c r="G78" s="2"/>
    </row>
    <row r="79" spans="1:7" x14ac:dyDescent="0.25">
      <c r="A79" s="4">
        <v>11</v>
      </c>
      <c r="B79" s="3"/>
      <c r="C79" s="3">
        <f t="shared" si="4"/>
        <v>4.4000000000000004</v>
      </c>
      <c r="D79" s="4">
        <f t="shared" si="5"/>
        <v>3</v>
      </c>
      <c r="E79" s="4"/>
      <c r="G79" s="2"/>
    </row>
    <row r="80" spans="1:7" x14ac:dyDescent="0.25">
      <c r="A80" s="4">
        <v>10</v>
      </c>
      <c r="B80" s="3"/>
      <c r="C80" s="3">
        <f t="shared" si="4"/>
        <v>4</v>
      </c>
      <c r="D80" s="4">
        <f t="shared" si="5"/>
        <v>2</v>
      </c>
      <c r="E80" s="4"/>
      <c r="G80" s="2"/>
    </row>
    <row r="81" spans="1:7" x14ac:dyDescent="0.25">
      <c r="A81" s="4">
        <v>9</v>
      </c>
      <c r="B81" s="3"/>
      <c r="C81" s="3">
        <f t="shared" si="4"/>
        <v>3.6</v>
      </c>
      <c r="D81" s="4">
        <f t="shared" si="5"/>
        <v>1</v>
      </c>
      <c r="E81" s="4"/>
      <c r="G81" s="2"/>
    </row>
    <row r="82" spans="1:7" x14ac:dyDescent="0.25">
      <c r="A82" s="4">
        <v>8</v>
      </c>
      <c r="B82" s="3"/>
      <c r="C82" s="3">
        <f t="shared" si="4"/>
        <v>3.2</v>
      </c>
      <c r="D82" s="4">
        <f t="shared" si="5"/>
        <v>0</v>
      </c>
      <c r="E82" s="4"/>
      <c r="F82" s="11"/>
      <c r="G82" s="10"/>
    </row>
    <row r="83" spans="1:7" x14ac:dyDescent="0.25">
      <c r="A83" s="4">
        <v>7</v>
      </c>
      <c r="B83" s="3"/>
      <c r="C83" s="3">
        <f t="shared" si="4"/>
        <v>2.8000000000000003</v>
      </c>
      <c r="D83" s="4">
        <f t="shared" si="5"/>
        <v>3</v>
      </c>
      <c r="E83" s="4"/>
      <c r="F83" s="11"/>
      <c r="G83" s="10"/>
    </row>
    <row r="84" spans="1:7" x14ac:dyDescent="0.25">
      <c r="A84" s="4">
        <v>6</v>
      </c>
      <c r="B84" s="3"/>
      <c r="C84" s="3">
        <f t="shared" si="4"/>
        <v>2.4000000000000004</v>
      </c>
      <c r="D84" s="4">
        <f t="shared" si="5"/>
        <v>2</v>
      </c>
      <c r="E84" s="4"/>
      <c r="F84" s="11"/>
      <c r="G84" s="10"/>
    </row>
    <row r="85" spans="1:7" x14ac:dyDescent="0.25">
      <c r="A85" s="4">
        <v>5</v>
      </c>
      <c r="B85" s="3"/>
      <c r="C85" s="3">
        <f t="shared" si="4"/>
        <v>2</v>
      </c>
      <c r="D85" s="4">
        <f t="shared" si="5"/>
        <v>1</v>
      </c>
      <c r="E85" s="4"/>
      <c r="F85" s="11"/>
      <c r="G85" s="10"/>
    </row>
    <row r="86" spans="1:7" x14ac:dyDescent="0.25">
      <c r="A86" s="4">
        <v>4</v>
      </c>
      <c r="B86" s="3"/>
      <c r="C86" s="3">
        <f t="shared" si="4"/>
        <v>1.6</v>
      </c>
      <c r="D86" s="4">
        <f t="shared" si="5"/>
        <v>0</v>
      </c>
      <c r="E86" s="4"/>
      <c r="F86" s="11"/>
      <c r="G86" s="10"/>
    </row>
    <row r="87" spans="1:7" x14ac:dyDescent="0.25">
      <c r="A87" s="4">
        <v>3</v>
      </c>
      <c r="B87" s="3"/>
      <c r="C87" s="3">
        <f t="shared" si="4"/>
        <v>1.2000000000000002</v>
      </c>
      <c r="D87" s="4">
        <f t="shared" si="5"/>
        <v>3</v>
      </c>
      <c r="E87" s="4"/>
      <c r="F87" s="11"/>
      <c r="G87" s="10"/>
    </row>
    <row r="88" spans="1:7" x14ac:dyDescent="0.25">
      <c r="A88" s="4">
        <v>2</v>
      </c>
      <c r="B88" s="3"/>
      <c r="C88" s="3">
        <f t="shared" si="4"/>
        <v>0.8</v>
      </c>
      <c r="D88" s="4">
        <f t="shared" si="5"/>
        <v>2</v>
      </c>
      <c r="E88" s="4"/>
      <c r="F88" s="11"/>
      <c r="G88" s="10"/>
    </row>
    <row r="89" spans="1:7" x14ac:dyDescent="0.25">
      <c r="A89" s="4">
        <v>1</v>
      </c>
      <c r="B89" s="3"/>
      <c r="C89" s="3">
        <f t="shared" si="4"/>
        <v>0.4</v>
      </c>
      <c r="D89" s="4">
        <f t="shared" si="5"/>
        <v>1</v>
      </c>
      <c r="E89" s="4"/>
      <c r="F89" s="11"/>
      <c r="G89" s="10"/>
    </row>
    <row r="90" spans="1:7" x14ac:dyDescent="0.25">
      <c r="A90" s="4">
        <v>0</v>
      </c>
      <c r="B90" s="3"/>
      <c r="C90" s="3">
        <f t="shared" si="4"/>
        <v>0</v>
      </c>
      <c r="D90" s="4">
        <f t="shared" si="5"/>
        <v>0</v>
      </c>
      <c r="E90" s="4"/>
      <c r="F90" s="11"/>
      <c r="G90" s="10"/>
    </row>
    <row r="91" spans="1:7" x14ac:dyDescent="0.25">
      <c r="A91" s="7"/>
      <c r="B91" s="3"/>
      <c r="C91" s="7"/>
      <c r="D91" s="4"/>
      <c r="E91" s="4"/>
      <c r="F91" s="11"/>
      <c r="G91" s="10"/>
    </row>
    <row r="92" spans="1:7" x14ac:dyDescent="0.25">
      <c r="A92" s="7"/>
      <c r="B92" s="3"/>
      <c r="C92" s="4"/>
      <c r="D92" s="4"/>
      <c r="E92" s="1"/>
      <c r="G92" s="2"/>
    </row>
    <row r="93" spans="1:7" x14ac:dyDescent="0.25">
      <c r="A93" s="1"/>
      <c r="B93" s="3"/>
      <c r="C93" s="4"/>
      <c r="D93" s="4"/>
      <c r="E93" s="4"/>
    </row>
    <row r="94" spans="1:7" x14ac:dyDescent="0.25">
      <c r="A94" s="1"/>
      <c r="B94" s="3"/>
      <c r="C94" s="4"/>
      <c r="D94" s="4"/>
      <c r="E94" s="4"/>
      <c r="G94" s="5"/>
    </row>
    <row r="95" spans="1:7" x14ac:dyDescent="0.25">
      <c r="A95" s="1"/>
      <c r="B95" s="3"/>
      <c r="C95" s="4"/>
      <c r="D95" s="4"/>
      <c r="E95" s="4"/>
      <c r="G95" s="5"/>
    </row>
    <row r="96" spans="1:7" x14ac:dyDescent="0.25">
      <c r="A96" s="1"/>
      <c r="B96" s="3"/>
      <c r="C96" s="4"/>
      <c r="D96" s="4"/>
      <c r="E96" s="4"/>
      <c r="G96" s="5"/>
    </row>
    <row r="97" spans="1:7" x14ac:dyDescent="0.25">
      <c r="A97" s="1"/>
      <c r="B97" s="3"/>
      <c r="C97" s="4"/>
      <c r="D97" s="4"/>
      <c r="E97" s="4"/>
      <c r="G97" s="5"/>
    </row>
    <row r="98" spans="1:7" x14ac:dyDescent="0.25">
      <c r="A98" s="1"/>
      <c r="B98" s="3"/>
      <c r="C98" s="4"/>
      <c r="D98" s="4"/>
      <c r="E98" s="4"/>
      <c r="G98" s="5"/>
    </row>
    <row r="99" spans="1:7" x14ac:dyDescent="0.25">
      <c r="A99" s="1"/>
      <c r="B99" s="3"/>
      <c r="C99" s="4"/>
      <c r="D99" s="4"/>
      <c r="E99" s="4"/>
      <c r="G99" s="5"/>
    </row>
    <row r="100" spans="1:7" x14ac:dyDescent="0.25">
      <c r="A100" s="1"/>
      <c r="B100" s="3"/>
      <c r="C100" s="4"/>
      <c r="D100" s="4"/>
      <c r="E100" s="4"/>
      <c r="G10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pine</dc:creator>
  <cp:lastModifiedBy>pine</cp:lastModifiedBy>
  <dcterms:created xsi:type="dcterms:W3CDTF">2024-06-21T14:48:36Z</dcterms:created>
  <dcterms:modified xsi:type="dcterms:W3CDTF">2024-06-21T22:10:20Z</dcterms:modified>
</cp:coreProperties>
</file>